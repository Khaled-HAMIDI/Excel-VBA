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mc:AlternateContent xmlns:mc="http://schemas.openxmlformats.org/markup-compatibility/2006">
    <mc:Choice Requires="x15">
      <x15ac:absPath xmlns:x15ac="http://schemas.microsoft.com/office/spreadsheetml/2010/11/ac" url="C:\Users\KHALED\Desktop\imp\GIT-project\Excel_VBA\SalesReporting\"/>
    </mc:Choice>
  </mc:AlternateContent>
  <xr:revisionPtr revIDLastSave="0" documentId="13_ncr:1_{3DF1B994-9008-4F91-B010-3B72B6FA26AD}" xr6:coauthVersionLast="45" xr6:coauthVersionMax="45" xr10:uidLastSave="{00000000-0000-0000-0000-000000000000}"/>
  <bookViews>
    <workbookView xWindow="-108" yWindow="-108" windowWidth="23256" windowHeight="13176" activeTab="1" xr2:uid="{00000000-000D-0000-FFFF-FFFF00000000}"/>
  </bookViews>
  <sheets>
    <sheet name="Start" sheetId="6" r:id="rId1"/>
    <sheet name="Summary" sheetId="3" r:id="rId2"/>
    <sheet name="RegionTemp" sheetId="7" r:id="rId3"/>
    <sheet name="Map" sheetId="2" r:id="rId4"/>
    <sheet name="NewData" sheetId="4" r:id="rId5"/>
  </sheets>
  <definedNames>
    <definedName name="_xlnm._FilterDatabase" localSheetId="1" hidden="1">Summary!$A$1:$H$1</definedName>
    <definedName name="MRegion">Map!$G$9:$G$10</definedName>
    <definedName name="Slicer_Company_Name">#N/A</definedName>
  </definedNames>
  <calcPr calcId="191029"/>
  <pivotCaches>
    <pivotCache cacheId="0"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3" i="7" l="1"/>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48" i="7"/>
  <c r="I49" i="7"/>
  <c r="I50" i="7"/>
  <c r="I51" i="7"/>
  <c r="I52" i="7"/>
  <c r="I53" i="7"/>
  <c r="I54" i="7"/>
  <c r="I55" i="7"/>
  <c r="I56" i="7"/>
  <c r="I57" i="7"/>
  <c r="I58" i="7"/>
  <c r="I59" i="7"/>
  <c r="I60" i="7"/>
  <c r="I61" i="7"/>
  <c r="I62" i="7"/>
  <c r="I63" i="7"/>
  <c r="I64" i="7"/>
  <c r="I65" i="7"/>
  <c r="I66" i="7"/>
  <c r="I67" i="7"/>
  <c r="I68" i="7"/>
  <c r="I69" i="7"/>
  <c r="I70" i="7"/>
  <c r="I71" i="7"/>
  <c r="I72" i="7"/>
  <c r="I73" i="7"/>
  <c r="I74" i="7"/>
  <c r="I75" i="7"/>
  <c r="I76" i="7"/>
  <c r="I77" i="7"/>
  <c r="I78" i="7"/>
  <c r="J3" i="7"/>
  <c r="J4" i="7"/>
  <c r="J5" i="7"/>
  <c r="J6" i="7"/>
  <c r="J7" i="7"/>
  <c r="J8" i="7"/>
  <c r="J9" i="7"/>
  <c r="J10" i="7"/>
  <c r="J11" i="7"/>
  <c r="J12" i="7"/>
  <c r="J13" i="7"/>
  <c r="J14" i="7"/>
  <c r="J15" i="7"/>
  <c r="J16" i="7"/>
  <c r="J17" i="7"/>
  <c r="J18" i="7"/>
  <c r="J19" i="7"/>
  <c r="J20" i="7"/>
  <c r="J21" i="7"/>
  <c r="J22" i="7"/>
  <c r="J23" i="7"/>
  <c r="J24" i="7"/>
  <c r="J25" i="7"/>
  <c r="J26" i="7"/>
  <c r="J27" i="7"/>
  <c r="J28" i="7"/>
  <c r="J29" i="7"/>
  <c r="J30" i="7"/>
  <c r="J31" i="7"/>
  <c r="J32" i="7"/>
  <c r="J33" i="7"/>
  <c r="J34" i="7"/>
  <c r="J35" i="7"/>
  <c r="J36" i="7"/>
  <c r="J37" i="7"/>
  <c r="J38" i="7"/>
  <c r="J39" i="7"/>
  <c r="J40" i="7"/>
  <c r="J41" i="7"/>
  <c r="J42" i="7"/>
  <c r="J43" i="7"/>
  <c r="J44" i="7"/>
  <c r="J45" i="7"/>
  <c r="J46" i="7"/>
  <c r="J47" i="7"/>
  <c r="J48" i="7"/>
  <c r="J49" i="7"/>
  <c r="J50" i="7"/>
  <c r="J51" i="7"/>
  <c r="J52" i="7"/>
  <c r="J53" i="7"/>
  <c r="J54" i="7"/>
  <c r="J55" i="7"/>
  <c r="J56" i="7"/>
  <c r="J57" i="7"/>
  <c r="J58" i="7"/>
  <c r="J59" i="7"/>
  <c r="J60" i="7"/>
  <c r="J61" i="7"/>
  <c r="J62" i="7"/>
  <c r="J63" i="7"/>
  <c r="J64" i="7"/>
  <c r="J65" i="7"/>
  <c r="J66" i="7"/>
  <c r="J67" i="7"/>
  <c r="J68" i="7"/>
  <c r="J69" i="7"/>
  <c r="J70" i="7"/>
  <c r="J71" i="7"/>
  <c r="J72" i="7"/>
  <c r="J73" i="7"/>
  <c r="J74" i="7"/>
  <c r="J75" i="7"/>
  <c r="J76" i="7"/>
  <c r="J77" i="7"/>
  <c r="J78" i="7"/>
  <c r="K3" i="7"/>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L3" i="7"/>
  <c r="L4" i="7"/>
  <c r="L5" i="7"/>
  <c r="L6" i="7"/>
  <c r="L7" i="7"/>
  <c r="L8" i="7"/>
  <c r="L9" i="7"/>
  <c r="L10" i="7"/>
  <c r="L11" i="7"/>
  <c r="L12" i="7"/>
  <c r="L13" i="7"/>
  <c r="L14" i="7"/>
  <c r="L15" i="7"/>
  <c r="L16" i="7"/>
  <c r="L17" i="7"/>
  <c r="L18" i="7"/>
  <c r="L19" i="7"/>
  <c r="L20" i="7"/>
  <c r="L21" i="7"/>
  <c r="L22" i="7"/>
  <c r="L23" i="7"/>
  <c r="L24" i="7"/>
  <c r="L25" i="7"/>
  <c r="L26" i="7"/>
  <c r="L27" i="7"/>
  <c r="L28" i="7"/>
  <c r="L29" i="7"/>
  <c r="L30" i="7"/>
  <c r="L31" i="7"/>
  <c r="L32" i="7"/>
  <c r="L33" i="7"/>
  <c r="L34" i="7"/>
  <c r="L35" i="7"/>
  <c r="L36" i="7"/>
  <c r="L37" i="7"/>
  <c r="L38" i="7"/>
  <c r="L39" i="7"/>
  <c r="L40" i="7"/>
  <c r="L41" i="7"/>
  <c r="L42" i="7"/>
  <c r="L43" i="7"/>
  <c r="L44" i="7"/>
  <c r="L45" i="7"/>
  <c r="L46" i="7"/>
  <c r="L47" i="7"/>
  <c r="L48" i="7"/>
  <c r="L49" i="7"/>
  <c r="L50" i="7"/>
  <c r="L51" i="7"/>
  <c r="L52" i="7"/>
  <c r="L53" i="7"/>
  <c r="L54" i="7"/>
  <c r="L55" i="7"/>
  <c r="L56" i="7"/>
  <c r="L57" i="7"/>
  <c r="L58" i="7"/>
  <c r="L59" i="7"/>
  <c r="L60" i="7"/>
  <c r="L61" i="7"/>
  <c r="L62" i="7"/>
  <c r="L63" i="7"/>
  <c r="L64" i="7"/>
  <c r="L65" i="7"/>
  <c r="L66" i="7"/>
  <c r="L67" i="7"/>
  <c r="L68" i="7"/>
  <c r="L69" i="7"/>
  <c r="L70" i="7"/>
  <c r="L71" i="7"/>
  <c r="L72" i="7"/>
  <c r="L73" i="7"/>
  <c r="L74" i="7"/>
  <c r="L75" i="7"/>
  <c r="L76" i="7"/>
  <c r="L77" i="7"/>
  <c r="L78" i="7"/>
  <c r="M3" i="7"/>
  <c r="M4" i="7"/>
  <c r="M5" i="7"/>
  <c r="M6" i="7"/>
  <c r="M7" i="7"/>
  <c r="M8" i="7"/>
  <c r="M9" i="7"/>
  <c r="M10" i="7"/>
  <c r="M11" i="7"/>
  <c r="M12" i="7"/>
  <c r="M13" i="7"/>
  <c r="M14" i="7"/>
  <c r="M15" i="7"/>
  <c r="M16" i="7"/>
  <c r="M17" i="7"/>
  <c r="M18" i="7"/>
  <c r="M19" i="7"/>
  <c r="M20" i="7"/>
  <c r="M21" i="7"/>
  <c r="M22" i="7"/>
  <c r="M23" i="7"/>
  <c r="M24" i="7"/>
  <c r="M25" i="7"/>
  <c r="M26" i="7"/>
  <c r="M27" i="7"/>
  <c r="M28" i="7"/>
  <c r="M29" i="7"/>
  <c r="M30" i="7"/>
  <c r="M31" i="7"/>
  <c r="M32" i="7"/>
  <c r="M33" i="7"/>
  <c r="M34" i="7"/>
  <c r="M35" i="7"/>
  <c r="M36" i="7"/>
  <c r="M37" i="7"/>
  <c r="M38" i="7"/>
  <c r="M39" i="7"/>
  <c r="M40" i="7"/>
  <c r="M41" i="7"/>
  <c r="M42" i="7"/>
  <c r="M43" i="7"/>
  <c r="M44" i="7"/>
  <c r="M45" i="7"/>
  <c r="M46" i="7"/>
  <c r="M47" i="7"/>
  <c r="M48" i="7"/>
  <c r="M49" i="7"/>
  <c r="M50" i="7"/>
  <c r="M51" i="7"/>
  <c r="M52" i="7"/>
  <c r="M53" i="7"/>
  <c r="M54" i="7"/>
  <c r="M55" i="7"/>
  <c r="M56" i="7"/>
  <c r="M57" i="7"/>
  <c r="M58" i="7"/>
  <c r="M59" i="7"/>
  <c r="M60" i="7"/>
  <c r="M61" i="7"/>
  <c r="M62" i="7"/>
  <c r="M63" i="7"/>
  <c r="M64" i="7"/>
  <c r="M65" i="7"/>
  <c r="M66" i="7"/>
  <c r="M67" i="7"/>
  <c r="M68" i="7"/>
  <c r="M69" i="7"/>
  <c r="M70" i="7"/>
  <c r="M71" i="7"/>
  <c r="M72" i="7"/>
  <c r="M73" i="7"/>
  <c r="M74" i="7"/>
  <c r="M75" i="7"/>
  <c r="M76" i="7"/>
  <c r="M77" i="7"/>
  <c r="M78" i="7"/>
  <c r="I2" i="7" l="1"/>
  <c r="L2" i="7" l="1"/>
  <c r="M2" i="7" s="1"/>
  <c r="J2" i="7" l="1"/>
  <c r="K2" i="7"/>
</calcChain>
</file>

<file path=xl/sharedStrings.xml><?xml version="1.0" encoding="utf-8"?>
<sst xmlns="http://schemas.openxmlformats.org/spreadsheetml/2006/main" count="273" uniqueCount="89">
  <si>
    <t>Description</t>
  </si>
  <si>
    <t>USD</t>
  </si>
  <si>
    <t/>
  </si>
  <si>
    <t>Sales Document</t>
  </si>
  <si>
    <t>Currency</t>
  </si>
  <si>
    <t>Women crop top black</t>
  </si>
  <si>
    <t>Men basics</t>
  </si>
  <si>
    <t>Men type T simple white</t>
  </si>
  <si>
    <t>Men type T simple black</t>
  </si>
  <si>
    <t>Women type T simple white</t>
  </si>
  <si>
    <t>Women type T simple black</t>
  </si>
  <si>
    <t>Women basics</t>
  </si>
  <si>
    <t>Laptop bag black</t>
  </si>
  <si>
    <t>Laptop bag red</t>
  </si>
  <si>
    <t>Smartphone case diamond</t>
  </si>
  <si>
    <t>Smartphone case simple</t>
  </si>
  <si>
    <t>Men dress shirt white</t>
  </si>
  <si>
    <t>Men dress shirt black</t>
  </si>
  <si>
    <t>Men dress shirt grey</t>
  </si>
  <si>
    <t>Unisex tank top black</t>
  </si>
  <si>
    <t>Unisex tank top white</t>
  </si>
  <si>
    <t>Men shorts grey</t>
  </si>
  <si>
    <t>Men shorts black</t>
  </si>
  <si>
    <t>Women evening dress long black</t>
  </si>
  <si>
    <t>Women evening dress Cocktail red</t>
  </si>
  <si>
    <t>Master Data &amp;</t>
  </si>
  <si>
    <t>Mapping Table</t>
  </si>
  <si>
    <t>Article Number Mapping</t>
  </si>
  <si>
    <t>Company Mapping</t>
  </si>
  <si>
    <t>1010US</t>
  </si>
  <si>
    <t>1020US</t>
  </si>
  <si>
    <t>1030AT</t>
  </si>
  <si>
    <t>1040DE</t>
  </si>
  <si>
    <t>Urban Right</t>
  </si>
  <si>
    <t>Lucas Basics</t>
  </si>
  <si>
    <t>Bere Kleid</t>
  </si>
  <si>
    <t>Company Name</t>
  </si>
  <si>
    <t>Ship to Party Mapping</t>
  </si>
  <si>
    <t>Month</t>
  </si>
  <si>
    <t>EUR</t>
  </si>
  <si>
    <t>Company ID</t>
  </si>
  <si>
    <t>Document Date</t>
  </si>
  <si>
    <t xml:space="preserve"> </t>
  </si>
  <si>
    <t>Quantity</t>
  </si>
  <si>
    <t>Sales Value</t>
  </si>
  <si>
    <t>Reject</t>
  </si>
  <si>
    <t>Company</t>
  </si>
  <si>
    <t>Customer Name</t>
  </si>
  <si>
    <t>Article Description</t>
  </si>
  <si>
    <t>Sales Local Currency</t>
  </si>
  <si>
    <t>Sales US Dollar</t>
  </si>
  <si>
    <t>Dellicia</t>
  </si>
  <si>
    <t>Meta Creations</t>
  </si>
  <si>
    <t>Erma</t>
  </si>
  <si>
    <t>Edson</t>
  </si>
  <si>
    <t>Customer Code</t>
  </si>
  <si>
    <t>Customer code</t>
  </si>
  <si>
    <t>Company code</t>
  </si>
  <si>
    <t>EUR to $</t>
  </si>
  <si>
    <t>Article code</t>
  </si>
  <si>
    <t>Row Labels</t>
  </si>
  <si>
    <t>Region</t>
  </si>
  <si>
    <t>America</t>
  </si>
  <si>
    <t>Europe</t>
  </si>
  <si>
    <t>$ Sales</t>
  </si>
  <si>
    <t>Total</t>
  </si>
  <si>
    <t>Customer</t>
  </si>
  <si>
    <t>Article</t>
  </si>
  <si>
    <t>Regional Sales by Customer</t>
  </si>
  <si>
    <t>Article Overview by Company</t>
  </si>
  <si>
    <t xml:space="preserve">Quantity </t>
  </si>
  <si>
    <t xml:space="preserve">Reject </t>
  </si>
  <si>
    <t xml:space="preserve">Reject % </t>
  </si>
  <si>
    <t>Regional Overview</t>
  </si>
  <si>
    <t>Tasks Completed</t>
  </si>
  <si>
    <t>Internal code</t>
  </si>
  <si>
    <t>Edson Total</t>
  </si>
  <si>
    <t>Regions</t>
  </si>
  <si>
    <t>Werner Strauss</t>
  </si>
  <si>
    <t>Aida GmbH</t>
  </si>
  <si>
    <t>Liebher</t>
  </si>
  <si>
    <t>Aida GmbH Total</t>
  </si>
  <si>
    <t>Werner Strauss Total</t>
  </si>
  <si>
    <t>Bere Kleid Total</t>
  </si>
  <si>
    <t>Average monthly exchange rates</t>
  </si>
  <si>
    <t>Sales in US Dollar</t>
  </si>
  <si>
    <t xml:space="preserve"> Quantity</t>
  </si>
  <si>
    <t>Liebher Total</t>
  </si>
  <si>
    <t>Lucas Basics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</si>
</sst>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quot;$&quot;#,##0"/>
    <numFmt numFmtId="165" formatCode="0.0%"/>
  </numFmts>
  <fonts count="12" x14ac:knownFonts="1">
    <font>
      <sz val="10"/>
      <color theme="1"/>
      <name val="Arial"/>
      <family val="2"/>
      <scheme val="minor"/>
    </font>
    <font>
      <sz val="8"/>
      <color theme="1"/>
      <name val="Arial"/>
      <family val="2"/>
    </font>
    <font>
      <b/>
      <sz val="11"/>
      <color theme="0"/>
      <name val="Arial"/>
      <family val="2"/>
      <scheme val="minor"/>
    </font>
    <font>
      <b/>
      <sz val="11"/>
      <name val="Arial"/>
      <family val="2"/>
      <scheme val="minor"/>
    </font>
    <font>
      <sz val="10"/>
      <color rgb="FFA31515"/>
      <name val="Consolas"/>
      <family val="3"/>
    </font>
    <font>
      <b/>
      <sz val="10"/>
      <color indexed="9"/>
      <name val="Arial"/>
      <family val="2"/>
      <scheme val="minor"/>
    </font>
    <font>
      <sz val="10"/>
      <color theme="1"/>
      <name val="Arial"/>
      <family val="2"/>
      <scheme val="minor"/>
    </font>
    <font>
      <sz val="10"/>
      <color rgb="FF000000"/>
      <name val="Arial"/>
      <family val="2"/>
    </font>
    <font>
      <sz val="10"/>
      <color theme="0"/>
      <name val="Arial"/>
      <family val="2"/>
      <scheme val="minor"/>
    </font>
    <font>
      <b/>
      <sz val="10"/>
      <color theme="0"/>
      <name val="Arial"/>
      <family val="2"/>
      <scheme val="minor"/>
    </font>
    <font>
      <b/>
      <sz val="10"/>
      <color theme="1"/>
      <name val="Arial"/>
      <family val="2"/>
      <scheme val="minor"/>
    </font>
    <font>
      <sz val="9"/>
      <color theme="1"/>
      <name val="Arial"/>
      <family val="2"/>
      <scheme val="minor"/>
    </font>
  </fonts>
  <fills count="8">
    <fill>
      <patternFill patternType="none"/>
    </fill>
    <fill>
      <patternFill patternType="gray125"/>
    </fill>
    <fill>
      <patternFill patternType="solid">
        <fgColor theme="2" tint="-0.749992370372631"/>
        <bgColor indexed="64"/>
      </patternFill>
    </fill>
    <fill>
      <patternFill patternType="solid">
        <fgColor indexed="44"/>
        <bgColor indexed="64"/>
      </patternFill>
    </fill>
    <fill>
      <patternFill patternType="solid">
        <fgColor theme="3"/>
        <bgColor indexed="64"/>
      </patternFill>
    </fill>
    <fill>
      <patternFill patternType="solid">
        <fgColor theme="9" tint="-0.249977111117893"/>
        <bgColor indexed="64"/>
      </patternFill>
    </fill>
    <fill>
      <patternFill patternType="solid">
        <fgColor theme="1" tint="0.34998626667073579"/>
        <bgColor indexed="64"/>
      </patternFill>
    </fill>
    <fill>
      <patternFill patternType="solid">
        <fgColor theme="4" tint="-0.249977111117893"/>
        <bgColor indexed="64"/>
      </patternFill>
    </fill>
  </fills>
  <borders count="6">
    <border>
      <left/>
      <right/>
      <top/>
      <bottom/>
      <diagonal/>
    </border>
    <border>
      <left/>
      <right/>
      <top/>
      <bottom style="thin">
        <color indexed="64"/>
      </bottom>
      <diagonal/>
    </border>
    <border>
      <left/>
      <right/>
      <top/>
      <bottom style="thin">
        <color theme="0" tint="-0.14996795556505021"/>
      </bottom>
      <diagonal/>
    </border>
    <border>
      <left/>
      <right style="thin">
        <color theme="0" tint="-0.499984740745262"/>
      </right>
      <top/>
      <bottom/>
      <diagonal/>
    </border>
    <border>
      <left/>
      <right style="thin">
        <color theme="0" tint="-0.24994659260841701"/>
      </right>
      <top/>
      <bottom/>
      <diagonal/>
    </border>
    <border>
      <left/>
      <right/>
      <top/>
      <bottom style="medium">
        <color theme="1" tint="0.34998626667073579"/>
      </bottom>
      <diagonal/>
    </border>
  </borders>
  <cellStyleXfs count="1">
    <xf numFmtId="0" fontId="0" fillId="0" borderId="0"/>
  </cellStyleXfs>
  <cellXfs count="43">
    <xf numFmtId="0" fontId="0" fillId="0" borderId="0" xfId="0"/>
    <xf numFmtId="0" fontId="1" fillId="0" borderId="0" xfId="0" applyFont="1"/>
    <xf numFmtId="0" fontId="0" fillId="2" borderId="0" xfId="0" applyFill="1" applyBorder="1"/>
    <xf numFmtId="0" fontId="2" fillId="2" borderId="0" xfId="0" applyFont="1" applyFill="1" applyBorder="1"/>
    <xf numFmtId="0" fontId="0" fillId="0" borderId="1" xfId="0" applyBorder="1"/>
    <xf numFmtId="49" fontId="3" fillId="3" borderId="0" xfId="0" applyNumberFormat="1" applyFont="1" applyFill="1" applyBorder="1" applyAlignment="1">
      <alignment horizontal="left" vertical="center" wrapText="1"/>
    </xf>
    <xf numFmtId="0" fontId="2" fillId="4" borderId="2" xfId="0" applyNumberFormat="1" applyFont="1" applyFill="1" applyBorder="1" applyAlignment="1" applyProtection="1">
      <alignment horizontal="center" vertical="center" wrapText="1"/>
      <protection locked="0"/>
    </xf>
    <xf numFmtId="0" fontId="4" fillId="0" borderId="0" xfId="0" applyFont="1"/>
    <xf numFmtId="0" fontId="6" fillId="0" borderId="0" xfId="0" applyFont="1"/>
    <xf numFmtId="14" fontId="0" fillId="0" borderId="0" xfId="0" applyNumberFormat="1"/>
    <xf numFmtId="0" fontId="5" fillId="5" borderId="0" xfId="0" applyFont="1" applyFill="1" applyBorder="1" applyAlignment="1">
      <alignment horizontal="center" vertical="center" wrapText="1"/>
    </xf>
    <xf numFmtId="0" fontId="6" fillId="0" borderId="0" xfId="0" applyFont="1" applyBorder="1"/>
    <xf numFmtId="0" fontId="0" fillId="0" borderId="0" xfId="0" applyNumberFormat="1" applyFont="1" applyProtection="1"/>
    <xf numFmtId="0" fontId="5" fillId="6" borderId="0" xfId="0" applyFont="1" applyFill="1" applyBorder="1" applyAlignment="1">
      <alignment horizontal="center" vertical="center" wrapText="1"/>
    </xf>
    <xf numFmtId="0" fontId="5" fillId="6" borderId="0" xfId="0" applyFont="1" applyFill="1" applyAlignment="1">
      <alignment horizontal="center" vertical="center" wrapText="1"/>
    </xf>
    <xf numFmtId="0" fontId="0" fillId="0" borderId="0" xfId="0" applyBorder="1"/>
    <xf numFmtId="0" fontId="0" fillId="0" borderId="0" xfId="0" applyNumberFormat="1" applyBorder="1"/>
    <xf numFmtId="0" fontId="0" fillId="0" borderId="0" xfId="0" applyNumberFormat="1"/>
    <xf numFmtId="2" fontId="0" fillId="0" borderId="0" xfId="0" applyNumberFormat="1" applyFont="1" applyProtection="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164" fontId="0" fillId="0" borderId="0" xfId="0" applyNumberFormat="1"/>
    <xf numFmtId="0" fontId="0" fillId="0" borderId="0" xfId="0" applyAlignment="1">
      <alignment horizontal="right"/>
    </xf>
    <xf numFmtId="9" fontId="0" fillId="0" borderId="0" xfId="0" applyNumberFormat="1"/>
    <xf numFmtId="0" fontId="0" fillId="0" borderId="3" xfId="0" applyBorder="1"/>
    <xf numFmtId="0" fontId="9" fillId="7" borderId="0" xfId="0" applyFont="1" applyFill="1"/>
    <xf numFmtId="0" fontId="9" fillId="7" borderId="0" xfId="0" applyFont="1" applyFill="1" applyAlignment="1">
      <alignment horizontal="left" vertical="center"/>
    </xf>
    <xf numFmtId="0" fontId="0" fillId="7" borderId="0" xfId="0" applyFill="1"/>
    <xf numFmtId="3" fontId="0" fillId="0" borderId="0" xfId="0" applyNumberFormat="1"/>
    <xf numFmtId="1" fontId="0" fillId="0" borderId="0" xfId="0" applyNumberFormat="1"/>
    <xf numFmtId="0" fontId="9" fillId="0" borderId="0" xfId="0" applyFont="1" applyFill="1"/>
    <xf numFmtId="0" fontId="0" fillId="0" borderId="4" xfId="0" applyBorder="1"/>
    <xf numFmtId="165" fontId="0" fillId="0" borderId="0" xfId="0" applyNumberFormat="1"/>
    <xf numFmtId="0" fontId="8" fillId="7" borderId="0" xfId="0" applyFont="1" applyFill="1"/>
    <xf numFmtId="0" fontId="9" fillId="7" borderId="0" xfId="0" applyFont="1" applyFill="1" applyAlignment="1">
      <alignment horizontal="center" vertical="center"/>
    </xf>
    <xf numFmtId="0" fontId="10" fillId="0" borderId="5" xfId="0" applyNumberFormat="1" applyFont="1" applyBorder="1"/>
    <xf numFmtId="0" fontId="0" fillId="0" borderId="5" xfId="0" applyNumberFormat="1" applyBorder="1"/>
    <xf numFmtId="0" fontId="11" fillId="0" borderId="0" xfId="0" applyFont="1" applyProtection="1">
      <protection locked="0"/>
    </xf>
    <xf numFmtId="0" fontId="0" fillId="0" borderId="0" xfId="0" applyProtection="1">
      <protection locked="0"/>
    </xf>
    <xf numFmtId="0" fontId="0" fillId="0" borderId="0" xfId="0" applyAlignment="1">
      <alignment horizontal="center"/>
    </xf>
    <xf numFmtId="0" fontId="0" fillId="0" borderId="1" xfId="0" applyBorder="1" applyProtection="1">
      <protection locked="0"/>
    </xf>
  </cellXfs>
  <cellStyles count="1">
    <cellStyle name="Normal" xfId="0" builtinId="0" customBuiltin="1"/>
  </cellStyles>
  <dxfs count="51">
    <dxf>
      <font>
        <b val="0"/>
        <i val="0"/>
        <strike val="0"/>
        <condense val="0"/>
        <extend val="0"/>
        <outline val="0"/>
        <shadow val="0"/>
        <u val="none"/>
        <vertAlign val="baseline"/>
        <sz val="8"/>
        <color theme="1"/>
        <name val="Arial"/>
        <family val="2"/>
        <scheme val="none"/>
      </font>
    </dxf>
    <dxf>
      <border outline="0">
        <bottom style="medium">
          <color indexed="64"/>
        </bottom>
      </border>
    </dxf>
    <dxf>
      <font>
        <b val="0"/>
        <i val="0"/>
        <strike val="0"/>
        <condense val="0"/>
        <extend val="0"/>
        <outline val="0"/>
        <shadow val="0"/>
        <u val="none"/>
        <vertAlign val="baseline"/>
        <sz val="10"/>
        <color theme="1"/>
        <name val="Arial"/>
        <family val="2"/>
        <scheme val="minor"/>
      </font>
      <numFmt numFmtId="2" formatCode="0.00"/>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i val="0"/>
        <strike val="0"/>
        <condense val="0"/>
        <extend val="0"/>
        <outline val="0"/>
        <shadow val="0"/>
        <u val="none"/>
        <vertAlign val="baseline"/>
        <sz val="10"/>
        <color indexed="9"/>
        <name val="Arial"/>
        <family val="2"/>
        <scheme val="minor"/>
      </font>
      <fill>
        <patternFill patternType="solid">
          <fgColor indexed="64"/>
          <bgColor theme="9" tint="-0.249977111117893"/>
        </patternFill>
      </fill>
      <alignment horizontal="center" vertical="center" textRotation="0" wrapText="1" indent="0" justifyLastLine="0" shrinkToFit="0" readingOrder="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fill>
        <patternFill patternType="solid">
          <fgColor indexed="64"/>
          <bgColor theme="9" tint="-0.249977111117893"/>
        </patternFill>
      </fill>
      <alignment horizontal="center" vertical="center" textRotation="0" wrapText="1" indent="0" justifyLastLine="0" shrinkToFit="0" readingOrder="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19" formatCode="m/d/yyyy"/>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family val="2"/>
        <scheme val="minor"/>
      </font>
      <protection locked="1" hidden="0"/>
    </dxf>
    <dxf>
      <font>
        <b/>
        <i val="0"/>
        <strike val="0"/>
        <condense val="0"/>
        <extend val="0"/>
        <outline val="0"/>
        <shadow val="0"/>
        <u val="none"/>
        <vertAlign val="baseline"/>
        <sz val="10"/>
        <color indexed="9"/>
        <name val="Arial"/>
        <family val="2"/>
        <scheme val="minor"/>
      </font>
      <fill>
        <patternFill patternType="solid">
          <fgColor indexed="64"/>
          <bgColor theme="1" tint="0.34998626667073579"/>
        </patternFill>
      </fill>
      <alignment horizontal="center" vertical="center" textRotation="0" wrapText="1" indent="0" justifyLastLine="0" shrinkToFit="0" readingOrder="0"/>
    </dxf>
    <dxf>
      <alignment horizontal="right"/>
    </dxf>
    <dxf>
      <alignment horizontal="general"/>
    </dxf>
    <dxf>
      <numFmt numFmtId="165" formatCode="0.0%"/>
    </dxf>
    <dxf>
      <numFmt numFmtId="14" formatCode="0.00%"/>
    </dxf>
    <dxf>
      <alignment horizontal="right"/>
    </dxf>
    <dxf>
      <alignment horizontal="right"/>
    </dxf>
    <dxf>
      <alignment horizontal="right"/>
    </dxf>
    <dxf>
      <numFmt numFmtId="1" formatCode="0"/>
    </dxf>
    <dxf>
      <numFmt numFmtId="3" formatCode="#,##0"/>
    </dxf>
    <dxf>
      <numFmt numFmtId="0" formatCode="General"/>
    </dxf>
    <dxf>
      <alignment horizontal="right"/>
    </dxf>
    <dxf>
      <alignment horizontal="right"/>
    </dxf>
    <dxf>
      <alignment horizontal="right"/>
    </dxf>
    <dxf>
      <numFmt numFmtId="13" formatCode="0%"/>
    </dxf>
    <dxf>
      <numFmt numFmtId="14" formatCode="0.00%"/>
    </dxf>
    <dxf>
      <alignment horizontal="right"/>
    </dxf>
    <dxf>
      <alignment horizontal="right"/>
    </dxf>
    <dxf>
      <alignment horizontal="right"/>
    </dxf>
    <dxf>
      <alignment horizontal="center"/>
    </dxf>
    <dxf>
      <alignment horizontal="center"/>
    </dxf>
    <dxf>
      <border>
        <bottom style="medium">
          <color auto="1"/>
        </bottom>
      </border>
    </dxf>
    <dxf>
      <font>
        <b/>
        <color theme="1"/>
      </font>
      <border>
        <bottom style="thin">
          <color theme="6"/>
        </bottom>
        <vertical/>
        <horizontal/>
      </border>
    </dxf>
    <dxf>
      <font>
        <color theme="1"/>
      </font>
      <border diagonalUp="0" diagonalDown="0">
        <left/>
        <right/>
        <top/>
        <bottom/>
        <vertical/>
        <horizontal/>
      </border>
    </dxf>
    <dxf>
      <border>
        <top style="thin">
          <color theme="1" tint="0.499984740745262"/>
        </top>
        <bottom style="thin">
          <color theme="1" tint="0.499984740745262"/>
        </bottom>
        <vertical style="thick">
          <color theme="0"/>
        </vertical>
      </border>
    </dxf>
    <dxf>
      <border>
        <top/>
        <bottom style="thin">
          <color theme="1" tint="0.499984740745262"/>
        </bottom>
      </border>
    </dxf>
    <dxf>
      <font>
        <b/>
        <color theme="1" tint="0.499984740745262"/>
      </font>
    </dxf>
    <dxf>
      <font>
        <b/>
        <color theme="1"/>
      </font>
    </dxf>
    <dxf>
      <font>
        <b/>
        <color theme="1" tint="0.499984740745262"/>
      </font>
    </dxf>
    <dxf>
      <font>
        <b/>
        <color theme="1"/>
      </font>
    </dxf>
    <dxf>
      <fill>
        <patternFill patternType="solid">
          <fgColor theme="0" tint="-0.14999847407452621"/>
          <bgColor theme="0" tint="-0.14999847407452621"/>
        </patternFill>
      </fill>
      <border>
        <left style="thin">
          <color theme="0" tint="-0.34998626667073579"/>
        </left>
        <right style="thin">
          <color theme="0" tint="-0.34998626667073579"/>
        </right>
        <top/>
        <bottom style="thin">
          <color theme="0" tint="-0.34998626667073579"/>
        </bottom>
        <vertical style="thin">
          <color theme="0" tint="-0.34998626667073579"/>
        </vertical>
        <horizontal style="thin">
          <color theme="0" tint="-0.34998626667073579"/>
        </horizontal>
      </border>
    </dxf>
    <dxf>
      <fill>
        <patternFill patternType="solid">
          <fgColor theme="0" tint="-0.14999847407452621"/>
          <bgColor theme="0" tint="-0.14999847407452621"/>
        </patternFill>
      </fill>
      <border>
        <top/>
        <bottom style="thin">
          <color theme="0" tint="-0.34998626667073579"/>
        </bottom>
      </border>
    </dxf>
    <dxf>
      <font>
        <b/>
        <color theme="1"/>
      </font>
      <fill>
        <patternFill patternType="solid">
          <fgColor theme="0"/>
          <bgColor theme="0"/>
        </patternFill>
      </fill>
      <border>
        <top style="thin">
          <color theme="1" tint="0.499984740745262"/>
        </top>
        <bottom style="thin">
          <color theme="1" tint="0.499984740745262"/>
        </bottom>
      </border>
    </dxf>
    <dxf>
      <font>
        <b/>
        <color theme="1"/>
      </font>
      <border>
        <top/>
        <bottom style="thin">
          <color theme="1" tint="0.499984740745262"/>
        </bottom>
      </border>
    </dxf>
    <dxf>
      <font>
        <color theme="1"/>
      </font>
      <border>
        <left style="thin">
          <color theme="0"/>
        </left>
        <right style="thin">
          <color theme="0"/>
        </right>
        <top style="thin">
          <color theme="0"/>
        </top>
        <vertical style="thick">
          <color theme="0"/>
        </vertical>
        <horizontal style="thin">
          <color theme="0" tint="-0.14999847407452621"/>
        </horizontal>
      </border>
    </dxf>
  </dxfs>
  <tableStyles count="3" defaultPivotStyle="PivotStyleLight16">
    <tableStyle name="MyPivotStyle" table="0" count="11" xr9:uid="{00000000-0011-0000-FFFF-FFFF00000000}">
      <tableStyleElement type="wholeTable" dxfId="50"/>
      <tableStyleElement type="headerRow" dxfId="49"/>
      <tableStyleElement type="totalRow" dxfId="48"/>
      <tableStyleElement type="firstRowStripe" dxfId="47"/>
      <tableStyleElement type="firstColumnStripe" dxfId="46"/>
      <tableStyleElement type="firstSubtotalRow" dxfId="45"/>
      <tableStyleElement type="secondSubtotalRow" dxfId="44"/>
      <tableStyleElement type="firstRowSubheading" dxfId="43"/>
      <tableStyleElement type="secondRowSubheading" dxfId="42"/>
      <tableStyleElement type="pageFieldLabels" dxfId="41"/>
      <tableStyleElement type="pageFieldValues" dxfId="40"/>
    </tableStyle>
    <tableStyle name="MySlicer" pivot="0" table="0" count="10" xr9:uid="{00000000-0011-0000-FFFF-FFFF01000000}">
      <tableStyleElement type="wholeTable" dxfId="39"/>
      <tableStyleElement type="headerRow" dxfId="38"/>
    </tableStyle>
    <tableStyle name="Table Style 1" pivot="0" count="1" xr9:uid="{00000000-0011-0000-FFFF-FFFF02000000}">
      <tableStyleElement type="wholeTable" dxfId="37"/>
    </tableStyle>
  </tableStyles>
  <colors>
    <mruColors>
      <color rgb="FFFBFBFB"/>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6" tint="0.59999389629810485"/>
              <bgColor theme="1" tint="0.49998474074526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BFBFB"/>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[Monthly_Sales_Reporting_Tool.xlsm]RegionTemp!PTRegion</c:name>
    <c:fmtId val="0"/>
  </c:pivotSource>
  <c:chart>
    <c:autoTitleDeleted val="0"/>
    <c:pivotFmts>
      <c:pivotFmt>
        <c:idx val="0"/>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085503112063978"/>
          <c:y val="6.1819357760127938E-2"/>
          <c:w val="0.57060194665745445"/>
          <c:h val="0.87636101345027562"/>
        </c:manualLayout>
      </c:layout>
      <c:barChart>
        <c:barDir val="bar"/>
        <c:grouping val="clustered"/>
        <c:varyColors val="0"/>
        <c:ser>
          <c:idx val="0"/>
          <c:order val="0"/>
          <c:tx>
            <c:strRef>
              <c:f>RegionTemp!$T$5</c:f>
              <c:strCache>
                <c:ptCount val="1"/>
                <c:pt idx="0">
                  <c:v>$ Sales</c:v>
                </c:pt>
              </c:strCache>
            </c:strRef>
          </c:tx>
          <c:spPr>
            <a:solidFill>
              <a:schemeClr val="bg2">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RegionTemp!$S$6:$S$10</c:f>
              <c:strCache>
                <c:ptCount val="4"/>
                <c:pt idx="0">
                  <c:v>Werner Strauss</c:v>
                </c:pt>
                <c:pt idx="1">
                  <c:v>Aida GmbH</c:v>
                </c:pt>
                <c:pt idx="2">
                  <c:v>Liebher</c:v>
                </c:pt>
                <c:pt idx="3">
                  <c:v>Edson</c:v>
                </c:pt>
              </c:strCache>
            </c:strRef>
          </c:cat>
          <c:val>
            <c:numRef>
              <c:f>RegionTemp!$T$6:$T$10</c:f>
              <c:numCache>
                <c:formatCode>"$"#,##0</c:formatCode>
                <c:ptCount val="4"/>
                <c:pt idx="0">
                  <c:v>378530.11</c:v>
                </c:pt>
                <c:pt idx="1">
                  <c:v>174854.43999999997</c:v>
                </c:pt>
                <c:pt idx="2">
                  <c:v>58511.98</c:v>
                </c:pt>
                <c:pt idx="3">
                  <c:v>36846.080000000002</c:v>
                </c:pt>
              </c:numCache>
            </c:numRef>
          </c:val>
          <c:extLst>
            <c:ext xmlns:c16="http://schemas.microsoft.com/office/drawing/2014/chart" uri="{C3380CC4-5D6E-409C-BE32-E72D297353CC}">
              <c16:uniqueId val="{00000000-C97D-456B-B545-5940DF0AE3BE}"/>
            </c:ext>
          </c:extLst>
        </c:ser>
        <c:dLbls>
          <c:showLegendKey val="0"/>
          <c:showVal val="0"/>
          <c:showCatName val="0"/>
          <c:showSerName val="0"/>
          <c:showPercent val="0"/>
          <c:showBubbleSize val="0"/>
        </c:dLbls>
        <c:gapWidth val="80"/>
        <c:axId val="996850144"/>
        <c:axId val="996852112"/>
      </c:barChart>
      <c:barChart>
        <c:barDir val="bar"/>
        <c:grouping val="clustered"/>
        <c:varyColors val="0"/>
        <c:ser>
          <c:idx val="1"/>
          <c:order val="1"/>
          <c:tx>
            <c:strRef>
              <c:f>RegionTemp!$U$5</c:f>
              <c:strCache>
                <c:ptCount val="1"/>
                <c:pt idx="0">
                  <c:v> </c:v>
                </c:pt>
              </c:strCache>
            </c:strRef>
          </c:tx>
          <c:spPr>
            <a:solidFill>
              <a:schemeClr val="accent2"/>
            </a:solidFill>
            <a:ln>
              <a:noFill/>
            </a:ln>
            <a:effectLst/>
          </c:spPr>
          <c:invertIfNegative val="0"/>
          <c:cat>
            <c:strRef>
              <c:f>RegionTemp!$S$6:$S$10</c:f>
              <c:strCache>
                <c:ptCount val="4"/>
                <c:pt idx="0">
                  <c:v>Werner Strauss</c:v>
                </c:pt>
                <c:pt idx="1">
                  <c:v>Aida GmbH</c:v>
                </c:pt>
                <c:pt idx="2">
                  <c:v>Liebher</c:v>
                </c:pt>
                <c:pt idx="3">
                  <c:v>Edson</c:v>
                </c:pt>
              </c:strCache>
            </c:strRef>
          </c:cat>
          <c:val>
            <c:numRef>
              <c:f>RegionTemp!$U$6:$U$10</c:f>
              <c:numCache>
                <c:formatCode>0%</c:formatCode>
                <c:ptCount val="4"/>
                <c:pt idx="0">
                  <c:v>0.58348273131003381</c:v>
                </c:pt>
                <c:pt idx="1">
                  <c:v>0.269528218595045</c:v>
                </c:pt>
                <c:pt idx="2">
                  <c:v>9.0192904085643483E-2</c:v>
                </c:pt>
                <c:pt idx="3">
                  <c:v>5.6796146009277869E-2</c:v>
                </c:pt>
              </c:numCache>
            </c:numRef>
          </c:val>
          <c:extLst>
            <c:ext xmlns:c16="http://schemas.microsoft.com/office/drawing/2014/chart" uri="{C3380CC4-5D6E-409C-BE32-E72D297353CC}">
              <c16:uniqueId val="{00000001-C97D-456B-B545-5940DF0AE3BE}"/>
            </c:ext>
          </c:extLst>
        </c:ser>
        <c:dLbls>
          <c:showLegendKey val="0"/>
          <c:showVal val="0"/>
          <c:showCatName val="0"/>
          <c:showSerName val="0"/>
          <c:showPercent val="0"/>
          <c:showBubbleSize val="0"/>
        </c:dLbls>
        <c:gapWidth val="80"/>
        <c:axId val="1004671952"/>
        <c:axId val="1004670640"/>
      </c:barChart>
      <c:catAx>
        <c:axId val="99685014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996852112"/>
        <c:crosses val="autoZero"/>
        <c:auto val="1"/>
        <c:lblAlgn val="ctr"/>
        <c:lblOffset val="100"/>
        <c:noMultiLvlLbl val="0"/>
      </c:catAx>
      <c:valAx>
        <c:axId val="996852112"/>
        <c:scaling>
          <c:orientation val="minMax"/>
        </c:scaling>
        <c:delete val="1"/>
        <c:axPos val="t"/>
        <c:numFmt formatCode="&quot;$&quot;#,##0" sourceLinked="1"/>
        <c:majorTickMark val="none"/>
        <c:minorTickMark val="none"/>
        <c:tickLblPos val="nextTo"/>
        <c:crossAx val="996850144"/>
        <c:crosses val="autoZero"/>
        <c:crossBetween val="between"/>
      </c:valAx>
      <c:valAx>
        <c:axId val="1004670640"/>
        <c:scaling>
          <c:orientation val="minMax"/>
        </c:scaling>
        <c:delete val="1"/>
        <c:axPos val="b"/>
        <c:numFmt formatCode="0%" sourceLinked="1"/>
        <c:majorTickMark val="out"/>
        <c:minorTickMark val="none"/>
        <c:tickLblPos val="nextTo"/>
        <c:crossAx val="1004671952"/>
        <c:crosses val="autoZero"/>
        <c:crossBetween val="between"/>
      </c:valAx>
      <c:catAx>
        <c:axId val="1004671952"/>
        <c:scaling>
          <c:orientation val="minMax"/>
        </c:scaling>
        <c:delete val="1"/>
        <c:axPos val="l"/>
        <c:numFmt formatCode="General" sourceLinked="1"/>
        <c:majorTickMark val="out"/>
        <c:minorTickMark val="none"/>
        <c:tickLblPos val="nextTo"/>
        <c:crossAx val="1004670640"/>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9.sv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7.svg"/><Relationship Id="rId5" Type="http://schemas.openxmlformats.org/officeDocument/2006/relationships/image" Target="../media/image6.png"/><Relationship Id="rId10" Type="http://schemas.openxmlformats.org/officeDocument/2006/relationships/image" Target="../media/image11.svg"/><Relationship Id="rId4" Type="http://schemas.openxmlformats.org/officeDocument/2006/relationships/image" Target="../media/image5.svg"/><Relationship Id="rId9" Type="http://schemas.openxmlformats.org/officeDocument/2006/relationships/image" Target="../media/image10.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268430</xdr:colOff>
      <xdr:row>2</xdr:row>
      <xdr:rowOff>42431</xdr:rowOff>
    </xdr:from>
    <xdr:to>
      <xdr:col>3</xdr:col>
      <xdr:colOff>103909</xdr:colOff>
      <xdr:row>9</xdr:row>
      <xdr:rowOff>34639</xdr:rowOff>
    </xdr:to>
    <xdr:sp macro="" textlink="">
      <xdr:nvSpPr>
        <xdr:cNvPr id="6" name="Rectangle: Top Corners One Rounded and One Snipped 5">
          <a:extLst>
            <a:ext uri="{FF2B5EF4-FFF2-40B4-BE49-F238E27FC236}">
              <a16:creationId xmlns:a16="http://schemas.microsoft.com/office/drawing/2014/main" id="{00000000-0008-0000-0000-000006000000}"/>
            </a:ext>
          </a:extLst>
        </xdr:cNvPr>
        <xdr:cNvSpPr/>
      </xdr:nvSpPr>
      <xdr:spPr>
        <a:xfrm>
          <a:off x="268430" y="553317"/>
          <a:ext cx="2034888" cy="1143867"/>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50"/>
            <a:t>Import Sales data from Sales</a:t>
          </a:r>
          <a:r>
            <a:rPr lang="en-US" sz="1050" baseline="0"/>
            <a:t> Document templates for one or more companies in one go</a:t>
          </a:r>
          <a:r>
            <a:rPr lang="en-US" sz="900" baseline="0"/>
            <a:t>. </a:t>
          </a:r>
          <a:r>
            <a:rPr lang="en-US" sz="900" b="0" i="1" baseline="0"/>
            <a:t>(Note: Browse and find the files - file name starts with "Sales_Document_xxx") </a:t>
          </a:r>
          <a:r>
            <a:rPr lang="en-US" sz="900" b="0" i="1"/>
            <a:t> </a:t>
          </a:r>
        </a:p>
      </xdr:txBody>
    </xdr:sp>
    <xdr:clientData/>
  </xdr:twoCellAnchor>
  <xdr:twoCellAnchor editAs="oneCell">
    <xdr:from>
      <xdr:col>3</xdr:col>
      <xdr:colOff>502228</xdr:colOff>
      <xdr:row>2</xdr:row>
      <xdr:rowOff>51958</xdr:rowOff>
    </xdr:from>
    <xdr:to>
      <xdr:col>7</xdr:col>
      <xdr:colOff>77932</xdr:colOff>
      <xdr:row>9</xdr:row>
      <xdr:rowOff>34639</xdr:rowOff>
    </xdr:to>
    <xdr:sp macro="" textlink="">
      <xdr:nvSpPr>
        <xdr:cNvPr id="10" name="Rectangle: Top Corners One Rounded and One Snipped 9">
          <a:extLst>
            <a:ext uri="{FF2B5EF4-FFF2-40B4-BE49-F238E27FC236}">
              <a16:creationId xmlns:a16="http://schemas.microsoft.com/office/drawing/2014/main" id="{00000000-0008-0000-0000-00000A000000}"/>
            </a:ext>
          </a:extLst>
        </xdr:cNvPr>
        <xdr:cNvSpPr/>
      </xdr:nvSpPr>
      <xdr:spPr>
        <a:xfrm>
          <a:off x="2701637" y="562844"/>
          <a:ext cx="2034886" cy="1134340"/>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a:solidFill>
                <a:schemeClr val="lt1"/>
              </a:solidFill>
              <a:latin typeface="+mn-lt"/>
              <a:ea typeface="+mn-ea"/>
              <a:cs typeface="+mn-cs"/>
            </a:rPr>
            <a:t>Generate</a:t>
          </a:r>
          <a:r>
            <a:rPr lang="en-US" sz="1050" baseline="0">
              <a:solidFill>
                <a:schemeClr val="lt1"/>
              </a:solidFill>
              <a:latin typeface="+mn-lt"/>
              <a:ea typeface="+mn-ea"/>
              <a:cs typeface="+mn-cs"/>
            </a:rPr>
            <a:t> the Regional &amp; Manager Reports for each region. </a:t>
          </a:r>
          <a:r>
            <a:rPr lang="en-US" sz="1050" i="1" baseline="0">
              <a:solidFill>
                <a:schemeClr val="lt1"/>
              </a:solidFill>
              <a:latin typeface="+mn-lt"/>
              <a:ea typeface="+mn-ea"/>
              <a:cs typeface="+mn-cs"/>
            </a:rPr>
            <a:t>(Create a pivot based Excel file for Regional managers and a hardcoded file for Top managers)</a:t>
          </a:r>
          <a:endParaRPr lang="en-US" sz="1050" i="1">
            <a:solidFill>
              <a:schemeClr val="lt1"/>
            </a:solidFill>
            <a:latin typeface="+mn-lt"/>
            <a:ea typeface="+mn-ea"/>
            <a:cs typeface="+mn-cs"/>
          </a:endParaRPr>
        </a:p>
      </xdr:txBody>
    </xdr:sp>
    <xdr:clientData/>
  </xdr:twoCellAnchor>
  <xdr:twoCellAnchor editAs="oneCell">
    <xdr:from>
      <xdr:col>8</xdr:col>
      <xdr:colOff>454602</xdr:colOff>
      <xdr:row>2</xdr:row>
      <xdr:rowOff>34638</xdr:rowOff>
    </xdr:from>
    <xdr:to>
      <xdr:col>11</xdr:col>
      <xdr:colOff>389658</xdr:colOff>
      <xdr:row>9</xdr:row>
      <xdr:rowOff>34639</xdr:rowOff>
    </xdr:to>
    <xdr:sp macro="" textlink="">
      <xdr:nvSpPr>
        <xdr:cNvPr id="11" name="Rectangle: Top Corners One Rounded and One Snipped 10">
          <a:extLst>
            <a:ext uri="{FF2B5EF4-FFF2-40B4-BE49-F238E27FC236}">
              <a16:creationId xmlns:a16="http://schemas.microsoft.com/office/drawing/2014/main" id="{00000000-0008-0000-0000-00000B000000}"/>
            </a:ext>
          </a:extLst>
        </xdr:cNvPr>
        <xdr:cNvSpPr/>
      </xdr:nvSpPr>
      <xdr:spPr>
        <a:xfrm>
          <a:off x="5416261" y="545524"/>
          <a:ext cx="1753465" cy="1151660"/>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a:solidFill>
                <a:schemeClr val="lt1"/>
              </a:solidFill>
              <a:latin typeface="+mn-lt"/>
              <a:ea typeface="+mn-ea"/>
              <a:cs typeface="+mn-cs"/>
            </a:rPr>
            <a:t>Create CSV file</a:t>
          </a:r>
          <a:r>
            <a:rPr lang="en-US" sz="1050" baseline="0">
              <a:solidFill>
                <a:schemeClr val="lt1"/>
              </a:solidFill>
              <a:latin typeface="+mn-lt"/>
              <a:ea typeface="+mn-ea"/>
              <a:cs typeface="+mn-cs"/>
            </a:rPr>
            <a:t> of ALL data for the current month to be uploaded to the central system for year-to-date reporting (e.g. SAP)</a:t>
          </a:r>
          <a:endParaRPr lang="en-US" sz="1050">
            <a:solidFill>
              <a:schemeClr val="lt1"/>
            </a:solidFill>
            <a:latin typeface="+mn-lt"/>
            <a:ea typeface="+mn-ea"/>
            <a:cs typeface="+mn-cs"/>
          </a:endParaRPr>
        </a:p>
      </xdr:txBody>
    </xdr:sp>
    <xdr:clientData/>
  </xdr:twoCellAnchor>
  <xdr:twoCellAnchor editAs="oneCell">
    <xdr:from>
      <xdr:col>12</xdr:col>
      <xdr:colOff>320386</xdr:colOff>
      <xdr:row>2</xdr:row>
      <xdr:rowOff>34154</xdr:rowOff>
    </xdr:from>
    <xdr:to>
      <xdr:col>16</xdr:col>
      <xdr:colOff>69272</xdr:colOff>
      <xdr:row>9</xdr:row>
      <xdr:rowOff>34639</xdr:rowOff>
    </xdr:to>
    <xdr:sp macro="" textlink="">
      <xdr:nvSpPr>
        <xdr:cNvPr id="13" name="Rectangle: Top Corners One Rounded and One Snipped 12">
          <a:extLst>
            <a:ext uri="{FF2B5EF4-FFF2-40B4-BE49-F238E27FC236}">
              <a16:creationId xmlns:a16="http://schemas.microsoft.com/office/drawing/2014/main" id="{00000000-0008-0000-0000-00000D000000}"/>
            </a:ext>
          </a:extLst>
        </xdr:cNvPr>
        <xdr:cNvSpPr/>
      </xdr:nvSpPr>
      <xdr:spPr>
        <a:xfrm>
          <a:off x="7706591" y="545040"/>
          <a:ext cx="2173431" cy="1152144"/>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baseline="0">
              <a:solidFill>
                <a:schemeClr val="lt1"/>
              </a:solidFill>
              <a:latin typeface="+mn-lt"/>
              <a:ea typeface="+mn-ea"/>
              <a:cs typeface="+mn-cs"/>
            </a:rPr>
            <a:t>Before working on the next month's data, clear values and start fresh. </a:t>
          </a:r>
        </a:p>
        <a:p>
          <a:pPr marL="0" indent="0" algn="l"/>
          <a:r>
            <a:rPr lang="en-US" sz="1050" baseline="0">
              <a:solidFill>
                <a:schemeClr val="lt1"/>
              </a:solidFill>
              <a:latin typeface="+mn-lt"/>
              <a:ea typeface="+mn-ea"/>
              <a:cs typeface="+mn-cs"/>
            </a:rPr>
            <a:t>Admin - opens up the hidden tabs in case problems arise. </a:t>
          </a:r>
          <a:r>
            <a:rPr lang="en-US" sz="900" i="1" baseline="0">
              <a:solidFill>
                <a:schemeClr val="lt1"/>
              </a:solidFill>
              <a:latin typeface="+mn-lt"/>
              <a:ea typeface="+mn-ea"/>
              <a:cs typeface="+mn-cs"/>
            </a:rPr>
            <a:t>(note: password =  me)</a:t>
          </a:r>
          <a:endParaRPr lang="en-US" sz="1050" i="1">
            <a:solidFill>
              <a:schemeClr val="lt1"/>
            </a:solidFill>
            <a:latin typeface="+mn-lt"/>
            <a:ea typeface="+mn-ea"/>
            <a:cs typeface="+mn-cs"/>
          </a:endParaRPr>
        </a:p>
      </xdr:txBody>
    </xdr:sp>
    <xdr:clientData/>
  </xdr:twoCellAnchor>
  <xdr:twoCellAnchor>
    <xdr:from>
      <xdr:col>0</xdr:col>
      <xdr:colOff>168853</xdr:colOff>
      <xdr:row>9</xdr:row>
      <xdr:rowOff>147204</xdr:rowOff>
    </xdr:from>
    <xdr:to>
      <xdr:col>3</xdr:col>
      <xdr:colOff>47625</xdr:colOff>
      <xdr:row>15</xdr:row>
      <xdr:rowOff>31173</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168853" y="1823604"/>
          <a:ext cx="2143990" cy="881496"/>
          <a:chOff x="168853" y="1783772"/>
          <a:chExt cx="2238374" cy="862446"/>
        </a:xfrm>
      </xdr:grpSpPr>
      <mc:AlternateContent xmlns:mc="http://schemas.openxmlformats.org/markup-compatibility/2006">
        <mc:Choice xmlns:a14="http://schemas.microsoft.com/office/drawing/2010/main" Requires="a14">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733425" y="2061730"/>
                <a:ext cx="1673802" cy="393123"/>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Import Sales</a:t>
                </a:r>
              </a:p>
            </xdr:txBody>
          </xdr:sp>
        </mc:Choice>
        <mc:Fallback/>
      </mc:AlternateContent>
      <xdr:pic macro="[0]!Import_Sales">
        <xdr:nvPicPr>
          <xdr:cNvPr id="18" name="Graphic 17" descr="Open Folder">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68853" y="1783772"/>
            <a:ext cx="1012248" cy="862446"/>
          </a:xfrm>
          <a:prstGeom prst="rect">
            <a:avLst/>
          </a:prstGeom>
        </xdr:spPr>
      </xdr:pic>
    </xdr:grpSp>
    <xdr:clientData/>
  </xdr:twoCellAnchor>
  <xdr:twoCellAnchor>
    <xdr:from>
      <xdr:col>8</xdr:col>
      <xdr:colOff>268432</xdr:colOff>
      <xdr:row>9</xdr:row>
      <xdr:rowOff>99580</xdr:rowOff>
    </xdr:from>
    <xdr:to>
      <xdr:col>10</xdr:col>
      <xdr:colOff>600075</xdr:colOff>
      <xdr:row>14</xdr:row>
      <xdr:rowOff>157595</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5380759" y="1775980"/>
          <a:ext cx="1578552" cy="889288"/>
          <a:chOff x="5602432" y="1736148"/>
          <a:chExt cx="1639165" cy="876300"/>
        </a:xfrm>
      </xdr:grpSpPr>
      <mc:AlternateContent xmlns:mc="http://schemas.openxmlformats.org/markup-compatibility/2006">
        <mc:Choice xmlns:a14="http://schemas.microsoft.com/office/drawing/2010/main" Requires="a14">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6044911" y="2061730"/>
                <a:ext cx="1196686" cy="393123"/>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CSV</a:t>
                </a:r>
              </a:p>
            </xdr:txBody>
          </xdr:sp>
        </mc:Choice>
        <mc:Fallback/>
      </mc:AlternateContent>
      <xdr:pic macro="[0]!Create_CSV">
        <xdr:nvPicPr>
          <xdr:cNvPr id="25" name="Graphic 24" descr="Hammer">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602432" y="1736148"/>
            <a:ext cx="956829" cy="876300"/>
          </a:xfrm>
          <a:prstGeom prst="rect">
            <a:avLst/>
          </a:prstGeom>
        </xdr:spPr>
      </xdr:pic>
    </xdr:grpSp>
    <xdr:clientData/>
  </xdr:twoCellAnchor>
  <xdr:twoCellAnchor>
    <xdr:from>
      <xdr:col>11</xdr:col>
      <xdr:colOff>593148</xdr:colOff>
      <xdr:row>14</xdr:row>
      <xdr:rowOff>56284</xdr:rowOff>
    </xdr:from>
    <xdr:to>
      <xdr:col>15</xdr:col>
      <xdr:colOff>98714</xdr:colOff>
      <xdr:row>19</xdr:row>
      <xdr:rowOff>135082</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7575839" y="2563957"/>
          <a:ext cx="1999384" cy="916998"/>
          <a:chOff x="7875444" y="2329296"/>
          <a:chExt cx="2120615" cy="892752"/>
        </a:xfrm>
      </xdr:grpSpPr>
      <mc:AlternateContent xmlns:mc="http://schemas.openxmlformats.org/markup-compatibility/2006">
        <mc:Choice xmlns:a14="http://schemas.microsoft.com/office/drawing/2010/main" Requires="a14">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8415774" y="2578678"/>
                <a:ext cx="1580285" cy="490104"/>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       Clear Values </a:t>
                </a:r>
              </a:p>
              <a:p>
                <a:pPr algn="ctr" rtl="0">
                  <a:defRPr sz="1000"/>
                </a:pPr>
                <a:r>
                  <a:rPr lang="en-US" sz="1000" b="0" i="0" u="none" strike="noStrike" baseline="0">
                    <a:solidFill>
                      <a:srgbClr val="000000"/>
                    </a:solidFill>
                    <a:latin typeface="Arial"/>
                    <a:cs typeface="Arial"/>
                  </a:rPr>
                  <a:t>&amp; Tasks</a:t>
                </a:r>
              </a:p>
            </xdr:txBody>
          </xdr:sp>
        </mc:Choice>
        <mc:Fallback/>
      </mc:AlternateContent>
      <xdr:pic macro="[0]!Clear_OldMonth">
        <xdr:nvPicPr>
          <xdr:cNvPr id="3" name="Graphic 2" descr="Eraser">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7875444" y="2329296"/>
            <a:ext cx="1009649" cy="892752"/>
          </a:xfrm>
          <a:prstGeom prst="rect">
            <a:avLst/>
          </a:prstGeom>
        </xdr:spPr>
      </xdr:pic>
    </xdr:grpSp>
    <xdr:clientData/>
  </xdr:twoCellAnchor>
  <xdr:oneCellAnchor>
    <xdr:from>
      <xdr:col>12</xdr:col>
      <xdr:colOff>320386</xdr:colOff>
      <xdr:row>0</xdr:row>
      <xdr:rowOff>77933</xdr:rowOff>
    </xdr:from>
    <xdr:ext cx="2260023" cy="320386"/>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706591" y="77933"/>
          <a:ext cx="2260023" cy="320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US" sz="2000">
            <a:solidFill>
              <a:schemeClr val="tx1"/>
            </a:solidFill>
            <a:latin typeface="Matura MT Script Capitals" panose="03020802060602070202" pitchFamily="66" charset="0"/>
          </a:endParaRPr>
        </a:p>
      </xdr:txBody>
    </xdr:sp>
    <xdr:clientData/>
  </xdr:oneCellAnchor>
  <mc:AlternateContent xmlns:mc="http://schemas.openxmlformats.org/markup-compatibility/2006">
    <mc:Choice xmlns:a14="http://schemas.microsoft.com/office/drawing/2010/main" Requires="a14">
      <xdr:twoCellAnchor editAs="oneCell">
        <xdr:from>
          <xdr:col>5</xdr:col>
          <xdr:colOff>114300</xdr:colOff>
          <xdr:row>13</xdr:row>
          <xdr:rowOff>121920</xdr:rowOff>
        </xdr:from>
        <xdr:to>
          <xdr:col>6</xdr:col>
          <xdr:colOff>434340</xdr:colOff>
          <xdr:row>15</xdr:row>
          <xdr:rowOff>7620</xdr:rowOff>
        </xdr:to>
        <xdr:sp macro="" textlink="">
          <xdr:nvSpPr>
            <xdr:cNvPr id="1032" name="AxRegion"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264103</xdr:colOff>
      <xdr:row>10</xdr:row>
      <xdr:rowOff>12988</xdr:rowOff>
    </xdr:from>
    <xdr:to>
      <xdr:col>6</xdr:col>
      <xdr:colOff>600075</xdr:colOff>
      <xdr:row>15</xdr:row>
      <xdr:rowOff>61480</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2529321" y="1855643"/>
          <a:ext cx="1984663" cy="879764"/>
          <a:chOff x="2623706" y="1809750"/>
          <a:chExt cx="2063460" cy="866775"/>
        </a:xfrm>
      </xdr:grpSpPr>
      <mc:AlternateContent xmlns:mc="http://schemas.openxmlformats.org/markup-compatibility/2006">
        <mc:Choice xmlns:a14="http://schemas.microsoft.com/office/drawing/2010/main" Requires="a14">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3318164" y="1966480"/>
                <a:ext cx="1369002" cy="385329"/>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Report</a:t>
                </a:r>
              </a:p>
            </xdr:txBody>
          </xdr:sp>
        </mc:Choice>
        <mc:Fallback/>
      </mc:AlternateContent>
      <xdr:pic macro="[0]!Create_Reports">
        <xdr:nvPicPr>
          <xdr:cNvPr id="23" name="Graphic 22" descr="Closed Book">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623706" y="1809750"/>
            <a:ext cx="994928" cy="866775"/>
          </a:xfrm>
          <a:prstGeom prst="rect">
            <a:avLst/>
          </a:prstGeom>
        </xdr:spPr>
      </xdr:pic>
    </xdr:grpSp>
    <xdr:clientData/>
  </xdr:twoCellAnchor>
  <xdr:oneCellAnchor>
    <xdr:from>
      <xdr:col>0</xdr:col>
      <xdr:colOff>251113</xdr:colOff>
      <xdr:row>0</xdr:row>
      <xdr:rowOff>112568</xdr:rowOff>
    </xdr:from>
    <xdr:ext cx="4788478" cy="298800"/>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51113" y="112568"/>
          <a:ext cx="4788478" cy="29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a:solidFill>
                <a:schemeClr val="tx1">
                  <a:lumMod val="85000"/>
                  <a:lumOff val="15000"/>
                </a:schemeClr>
              </a:solidFill>
            </a:rPr>
            <a:t>Monthly</a:t>
          </a:r>
          <a:r>
            <a:rPr lang="en-US" sz="1400" baseline="0">
              <a:solidFill>
                <a:schemeClr val="tx1">
                  <a:lumMod val="85000"/>
                  <a:lumOff val="15000"/>
                </a:schemeClr>
              </a:solidFill>
            </a:rPr>
            <a:t> Sales Reporting Data Preparation Template</a:t>
          </a:r>
          <a:endParaRPr lang="en-US" sz="1400">
            <a:solidFill>
              <a:schemeClr val="tx1">
                <a:lumMod val="85000"/>
                <a:lumOff val="15000"/>
              </a:schemeClr>
            </a:solidFill>
          </a:endParaRPr>
        </a:p>
      </xdr:txBody>
    </xdr:sp>
    <xdr:clientData/>
  </xdr:oneCellAnchor>
  <xdr:twoCellAnchor>
    <xdr:from>
      <xdr:col>11</xdr:col>
      <xdr:colOff>619125</xdr:colOff>
      <xdr:row>10</xdr:row>
      <xdr:rowOff>103909</xdr:rowOff>
    </xdr:from>
    <xdr:to>
      <xdr:col>15</xdr:col>
      <xdr:colOff>100013</xdr:colOff>
      <xdr:row>15</xdr:row>
      <xdr:rowOff>152401</xdr:rowOff>
    </xdr:to>
    <xdr:grpSp>
      <xdr:nvGrpSpPr>
        <xdr:cNvPr id="15" name="Group 14">
          <a:extLst>
            <a:ext uri="{FF2B5EF4-FFF2-40B4-BE49-F238E27FC236}">
              <a16:creationId xmlns:a16="http://schemas.microsoft.com/office/drawing/2014/main" id="{00000000-0008-0000-0000-00000F000000}"/>
            </a:ext>
          </a:extLst>
        </xdr:cNvPr>
        <xdr:cNvGrpSpPr/>
      </xdr:nvGrpSpPr>
      <xdr:grpSpPr>
        <a:xfrm>
          <a:off x="7601816" y="1946564"/>
          <a:ext cx="1974706" cy="879764"/>
          <a:chOff x="7914410" y="1900671"/>
          <a:chExt cx="2095935" cy="866775"/>
        </a:xfrm>
      </xdr:grpSpPr>
      <mc:AlternateContent xmlns:mc="http://schemas.openxmlformats.org/markup-compatibility/2006">
        <mc:Choice xmlns:a14="http://schemas.microsoft.com/office/drawing/2010/main" Requires="a14">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8444347" y="2118880"/>
                <a:ext cx="1565998" cy="426461"/>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Admin</a:t>
                </a:r>
              </a:p>
            </xdr:txBody>
          </xdr:sp>
        </mc:Choice>
        <mc:Fallback/>
      </mc:AlternateContent>
      <xdr:pic macro="[0]!Admin_Tasks">
        <xdr:nvPicPr>
          <xdr:cNvPr id="24" name="Graphic 23" descr="Key">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7914410" y="1900671"/>
            <a:ext cx="952500" cy="866775"/>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23</xdr:col>
      <xdr:colOff>1</xdr:colOff>
      <xdr:row>1</xdr:row>
      <xdr:rowOff>9528</xdr:rowOff>
    </xdr:from>
    <xdr:to>
      <xdr:col>25</xdr:col>
      <xdr:colOff>171450</xdr:colOff>
      <xdr:row>3</xdr:row>
      <xdr:rowOff>76201</xdr:rowOff>
    </xdr:to>
    <mc:AlternateContent xmlns:mc="http://schemas.openxmlformats.org/markup-compatibility/2006" xmlns:a14="http://schemas.microsoft.com/office/drawing/2010/main">
      <mc:Choice Requires="a14">
        <xdr:graphicFrame macro="">
          <xdr:nvGraphicFramePr>
            <xdr:cNvPr id="2" name="Company Name">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Company Name"/>
            </a:graphicData>
          </a:graphic>
        </xdr:graphicFrame>
      </mc:Choice>
      <mc:Fallback xmlns="">
        <xdr:sp macro="" textlink="">
          <xdr:nvSpPr>
            <xdr:cNvPr id="0" name=""/>
            <xdr:cNvSpPr>
              <a:spLocks noTextEdit="1"/>
            </xdr:cNvSpPr>
          </xdr:nvSpPr>
          <xdr:spPr>
            <a:xfrm>
              <a:off x="19602450" y="361953"/>
              <a:ext cx="3643312" cy="39052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219075</xdr:colOff>
      <xdr:row>14</xdr:row>
      <xdr:rowOff>152400</xdr:rowOff>
    </xdr:from>
    <xdr:to>
      <xdr:col>20</xdr:col>
      <xdr:colOff>1040606</xdr:colOff>
      <xdr:row>29</xdr:row>
      <xdr:rowOff>157164</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ila Gharani" refreshedDate="43151.463718287036" createdVersion="6" refreshedVersion="6" minRefreshableVersion="3" recordCount="77" xr:uid="{00000000-000A-0000-FFFF-FFFF01000000}">
  <cacheSource type="worksheet">
    <worksheetSource name="TableTemp"/>
  </cacheSource>
  <cacheFields count="14">
    <cacheField name="Company" numFmtId="0">
      <sharedItems/>
    </cacheField>
    <cacheField name="Sales Document" numFmtId="0">
      <sharedItems containsSemiMixedTypes="0" containsString="0" containsNumber="1" containsInteger="1" minValue="44015" maxValue="88666"/>
    </cacheField>
    <cacheField name="Document Date" numFmtId="14">
      <sharedItems containsSemiMixedTypes="0" containsNonDate="0" containsDate="1" containsString="0" minDate="2018-10-04T00:00:00" maxDate="2018-10-27T00:00:00"/>
    </cacheField>
    <cacheField name="Customer Code" numFmtId="0">
      <sharedItems containsSemiMixedTypes="0" containsString="0" containsNumber="1" containsInteger="1" minValue="8030" maxValue="8060"/>
    </cacheField>
    <cacheField name="Article code" numFmtId="0">
      <sharedItems containsSemiMixedTypes="0" containsString="0" containsNumber="1" containsInteger="1" minValue="103" maxValue="120"/>
    </cacheField>
    <cacheField name="Reject" numFmtId="0">
      <sharedItems containsBlank="1" containsMixedTypes="1" containsNumber="1" containsInteger="1" minValue="1" maxValue="4"/>
    </cacheField>
    <cacheField name="Quantity" numFmtId="0">
      <sharedItems containsSemiMixedTypes="0" containsString="0" containsNumber="1" containsInteger="1" minValue="50" maxValue="870"/>
    </cacheField>
    <cacheField name="Sales Local Currency" numFmtId="0">
      <sharedItems containsSemiMixedTypes="0" containsString="0" containsNumber="1" containsInteger="1" minValue="1200" maxValue="53320"/>
    </cacheField>
    <cacheField name="Company Name" numFmtId="0">
      <sharedItems containsBlank="1" count="8">
        <s v="Bere Kleid"/>
        <s v="Lucas Basics"/>
        <m u="1"/>
        <s v="Meta Creations" u="1"/>
        <s v="Urban Right" u="1"/>
        <s v="Europe" u="1"/>
        <e v="#N/A" u="1"/>
        <s v="America" u="1"/>
      </sharedItems>
    </cacheField>
    <cacheField name="Customer Name" numFmtId="0">
      <sharedItems count="10">
        <s v="Aida GmbH"/>
        <s v="Werner Strauss"/>
        <s v="Edson"/>
        <s v="Liebher"/>
        <s v="Hite" u="1"/>
        <s v="Shank" u="1"/>
        <s v="Dellicia" u="1"/>
        <e v="#N/A" u="1"/>
        <s v="Erma" u="1"/>
        <s v="Novella" u="1"/>
      </sharedItems>
    </cacheField>
    <cacheField name="Article Description" numFmtId="0">
      <sharedItems count="21">
        <s v="Women evening dress Cocktail red"/>
        <s v="Women type T simple black"/>
        <s v="Women crop top black"/>
        <s v="Women basics"/>
        <s v="Smartphone case diamond"/>
        <s v="Women evening dress long black"/>
        <s v="Unisex tank top white"/>
        <s v="Smartphone case simple"/>
        <s v="Laptop bag red"/>
        <s v="Women type T simple white"/>
        <s v="Unisex tank top black"/>
        <s v="Laptop bag black"/>
        <s v="Men dress shirt black" u="1"/>
        <s v="Men type T simple black" u="1"/>
        <s v="Men type T simple white" u="1"/>
        <s v="Men dress shirt grey" u="1"/>
        <e v="#N/A" u="1"/>
        <s v="Men dress shirt white" u="1"/>
        <s v="Men shorts grey" u="1"/>
        <s v="Men basics" u="1"/>
        <s v="Men shorts black" u="1"/>
      </sharedItems>
    </cacheField>
    <cacheField name="Currency" numFmtId="0">
      <sharedItems/>
    </cacheField>
    <cacheField name="Sales US Dollar" numFmtId="2">
      <sharedItems containsSemiMixedTypes="0" containsString="0" containsNumber="1" minValue="1409.93" maxValue="62647.75"/>
    </cacheField>
    <cacheField name="Reject %" numFmtId="0" formula="Reject/Quantity" databaseField="0"/>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77">
  <r>
    <s v="1030AT"/>
    <n v="84030"/>
    <d v="2018-10-07T00:00:00"/>
    <n v="8050"/>
    <n v="120"/>
    <s v=""/>
    <n v="120"/>
    <n v="6960"/>
    <x v="0"/>
    <x v="0"/>
    <x v="0"/>
    <s v="EUR"/>
    <n v="8177.58"/>
  </r>
  <r>
    <s v="1030AT"/>
    <n v="84030"/>
    <d v="2018-10-07T00:00:00"/>
    <n v="8050"/>
    <n v="104"/>
    <n v="1"/>
    <n v="430"/>
    <n v="5160"/>
    <x v="0"/>
    <x v="0"/>
    <x v="1"/>
    <s v="EUR"/>
    <n v="6062.69"/>
  </r>
  <r>
    <s v="1030AT"/>
    <n v="84030"/>
    <d v="2018-10-07T00:00:00"/>
    <n v="8050"/>
    <n v="105"/>
    <s v=""/>
    <n v="120"/>
    <n v="1200"/>
    <x v="0"/>
    <x v="0"/>
    <x v="2"/>
    <s v="EUR"/>
    <n v="1409.93"/>
  </r>
  <r>
    <s v="1030AT"/>
    <n v="84030"/>
    <d v="2018-10-07T00:00:00"/>
    <n v="8050"/>
    <n v="107"/>
    <n v="1"/>
    <n v="690"/>
    <n v="3450"/>
    <x v="0"/>
    <x v="0"/>
    <x v="3"/>
    <s v="EUR"/>
    <n v="4053.54"/>
  </r>
  <r>
    <s v="1030AT"/>
    <n v="84031"/>
    <d v="2018-10-08T00:00:00"/>
    <n v="8040"/>
    <n v="104"/>
    <s v=""/>
    <n v="870"/>
    <n v="10440"/>
    <x v="0"/>
    <x v="1"/>
    <x v="1"/>
    <s v="EUR"/>
    <n v="12266.36"/>
  </r>
  <r>
    <s v="1030AT"/>
    <n v="84031"/>
    <d v="2018-10-08T00:00:00"/>
    <n v="8040"/>
    <n v="107"/>
    <s v=""/>
    <n v="760"/>
    <n v="3800"/>
    <x v="0"/>
    <x v="1"/>
    <x v="3"/>
    <s v="EUR"/>
    <n v="4464.7700000000004"/>
  </r>
  <r>
    <s v="1030AT"/>
    <n v="84031"/>
    <d v="2018-10-08T00:00:00"/>
    <n v="8040"/>
    <n v="110"/>
    <n v="2"/>
    <n v="500"/>
    <n v="30000"/>
    <x v="0"/>
    <x v="1"/>
    <x v="4"/>
    <s v="EUR"/>
    <n v="35248.17"/>
  </r>
  <r>
    <s v="1030AT"/>
    <n v="88112"/>
    <d v="2018-10-11T00:00:00"/>
    <n v="8040"/>
    <n v="110"/>
    <m/>
    <n v="480"/>
    <n v="28800"/>
    <x v="0"/>
    <x v="1"/>
    <x v="4"/>
    <s v="EUR"/>
    <n v="33838.239999999998"/>
  </r>
  <r>
    <s v="1030AT"/>
    <n v="88112"/>
    <d v="2018-10-11T00:00:00"/>
    <n v="8040"/>
    <n v="119"/>
    <s v=""/>
    <n v="630"/>
    <n v="39060"/>
    <x v="0"/>
    <x v="1"/>
    <x v="5"/>
    <s v="EUR"/>
    <n v="45893.120000000003"/>
  </r>
  <r>
    <s v="1030AT"/>
    <n v="88112"/>
    <d v="2018-10-11T00:00:00"/>
    <n v="8040"/>
    <n v="120"/>
    <m/>
    <n v="150"/>
    <n v="8700"/>
    <x v="0"/>
    <x v="1"/>
    <x v="0"/>
    <s v="EUR"/>
    <n v="10221.969999999999"/>
  </r>
  <r>
    <s v="1030AT"/>
    <n v="88112"/>
    <d v="2018-10-11T00:00:00"/>
    <n v="8040"/>
    <n v="116"/>
    <n v="4"/>
    <n v="760"/>
    <n v="4560"/>
    <x v="0"/>
    <x v="1"/>
    <x v="6"/>
    <s v="EUR"/>
    <n v="5357.72"/>
  </r>
  <r>
    <s v="1030AT"/>
    <n v="88112"/>
    <d v="2018-10-11T00:00:00"/>
    <n v="8040"/>
    <n v="111"/>
    <m/>
    <n v="590"/>
    <n v="11800"/>
    <x v="0"/>
    <x v="1"/>
    <x v="7"/>
    <s v="EUR"/>
    <n v="13864.28"/>
  </r>
  <r>
    <s v="1030AT"/>
    <n v="88112"/>
    <d v="2018-10-11T00:00:00"/>
    <n v="8040"/>
    <n v="110"/>
    <m/>
    <n v="530"/>
    <n v="31800"/>
    <x v="0"/>
    <x v="1"/>
    <x v="4"/>
    <s v="EUR"/>
    <n v="37363.06"/>
  </r>
  <r>
    <s v="1030AT"/>
    <n v="88112"/>
    <d v="2018-10-11T00:00:00"/>
    <n v="8040"/>
    <n v="109"/>
    <m/>
    <n v="260"/>
    <n v="7280"/>
    <x v="0"/>
    <x v="1"/>
    <x v="8"/>
    <s v="EUR"/>
    <n v="8553.56"/>
  </r>
  <r>
    <s v="1030AT"/>
    <n v="85442"/>
    <d v="2018-10-15T00:00:00"/>
    <n v="8050"/>
    <n v="107"/>
    <m/>
    <n v="270"/>
    <n v="1350"/>
    <x v="0"/>
    <x v="0"/>
    <x v="3"/>
    <s v="EUR"/>
    <n v="1586.17"/>
  </r>
  <r>
    <s v="1030AT"/>
    <n v="85442"/>
    <d v="2018-10-15T00:00:00"/>
    <n v="8050"/>
    <n v="103"/>
    <m/>
    <n v="630"/>
    <n v="7560"/>
    <x v="0"/>
    <x v="0"/>
    <x v="9"/>
    <s v="EUR"/>
    <n v="8882.5400000000009"/>
  </r>
  <r>
    <s v="1030AT"/>
    <n v="85442"/>
    <d v="2018-10-15T00:00:00"/>
    <n v="8050"/>
    <n v="104"/>
    <m/>
    <n v="440"/>
    <n v="5280"/>
    <x v="0"/>
    <x v="0"/>
    <x v="1"/>
    <s v="EUR"/>
    <n v="6203.68"/>
  </r>
  <r>
    <s v="1030AT"/>
    <n v="85442"/>
    <d v="2018-10-15T00:00:00"/>
    <n v="8050"/>
    <n v="120"/>
    <m/>
    <n v="500"/>
    <n v="29000"/>
    <x v="0"/>
    <x v="0"/>
    <x v="0"/>
    <s v="EUR"/>
    <n v="34073.230000000003"/>
  </r>
  <r>
    <s v="1030AT"/>
    <n v="85442"/>
    <d v="2018-10-15T00:00:00"/>
    <n v="8050"/>
    <n v="119"/>
    <n v="1"/>
    <n v="360"/>
    <n v="22320"/>
    <x v="0"/>
    <x v="0"/>
    <x v="5"/>
    <s v="EUR"/>
    <n v="26224.639999999999"/>
  </r>
  <r>
    <s v="1030AT"/>
    <n v="85442"/>
    <d v="2018-10-15T00:00:00"/>
    <n v="8050"/>
    <n v="115"/>
    <m/>
    <n v="810"/>
    <n v="4860"/>
    <x v="0"/>
    <x v="0"/>
    <x v="10"/>
    <s v="EUR"/>
    <n v="5710.2"/>
  </r>
  <r>
    <s v="1030AT"/>
    <n v="85442"/>
    <d v="2018-10-15T00:00:00"/>
    <n v="8050"/>
    <n v="108"/>
    <m/>
    <n v="800"/>
    <n v="22400"/>
    <x v="0"/>
    <x v="0"/>
    <x v="11"/>
    <s v="EUR"/>
    <n v="26318.63"/>
  </r>
  <r>
    <s v="1030AT"/>
    <n v="88588"/>
    <d v="2018-10-15T00:00:00"/>
    <n v="8040"/>
    <n v="120"/>
    <m/>
    <n v="470"/>
    <n v="27260"/>
    <x v="0"/>
    <x v="1"/>
    <x v="0"/>
    <s v="EUR"/>
    <n v="32028.84"/>
  </r>
  <r>
    <s v="1030AT"/>
    <n v="88588"/>
    <d v="2018-10-15T00:00:00"/>
    <n v="8040"/>
    <n v="119"/>
    <m/>
    <n v="860"/>
    <n v="53320"/>
    <x v="0"/>
    <x v="1"/>
    <x v="5"/>
    <s v="EUR"/>
    <n v="62647.75"/>
  </r>
  <r>
    <s v="1030AT"/>
    <n v="88588"/>
    <d v="2018-10-15T00:00:00"/>
    <n v="8040"/>
    <n v="110"/>
    <m/>
    <n v="180"/>
    <n v="10800"/>
    <x v="0"/>
    <x v="1"/>
    <x v="4"/>
    <s v="EUR"/>
    <n v="12689.34"/>
  </r>
  <r>
    <s v="1030AT"/>
    <n v="88588"/>
    <d v="2018-10-15T00:00:00"/>
    <n v="8040"/>
    <n v="111"/>
    <m/>
    <n v="750"/>
    <n v="15000"/>
    <x v="0"/>
    <x v="1"/>
    <x v="7"/>
    <s v="EUR"/>
    <n v="17624.09"/>
  </r>
  <r>
    <s v="1030AT"/>
    <n v="88588"/>
    <d v="2018-10-15T00:00:00"/>
    <n v="8040"/>
    <n v="109"/>
    <m/>
    <n v="560"/>
    <n v="15680"/>
    <x v="0"/>
    <x v="1"/>
    <x v="8"/>
    <s v="EUR"/>
    <n v="18423.04"/>
  </r>
  <r>
    <s v="1030AT"/>
    <n v="88588"/>
    <d v="2018-10-15T00:00:00"/>
    <n v="8040"/>
    <n v="105"/>
    <m/>
    <n v="130"/>
    <n v="1300"/>
    <x v="0"/>
    <x v="1"/>
    <x v="2"/>
    <s v="EUR"/>
    <n v="1527.42"/>
  </r>
  <r>
    <s v="1030AT"/>
    <n v="88588"/>
    <d v="2018-10-15T00:00:00"/>
    <n v="8040"/>
    <n v="103"/>
    <m/>
    <n v="110"/>
    <n v="1320"/>
    <x v="0"/>
    <x v="1"/>
    <x v="9"/>
    <s v="EUR"/>
    <n v="1550.92"/>
  </r>
  <r>
    <s v="1030AT"/>
    <n v="88544"/>
    <d v="2018-10-22T00:00:00"/>
    <n v="8040"/>
    <n v="107"/>
    <m/>
    <n v="770"/>
    <n v="3850"/>
    <x v="0"/>
    <x v="1"/>
    <x v="3"/>
    <s v="EUR"/>
    <n v="4523.5200000000004"/>
  </r>
  <r>
    <s v="1030AT"/>
    <n v="88544"/>
    <d v="2018-10-22T00:00:00"/>
    <n v="8040"/>
    <n v="120"/>
    <m/>
    <n v="300"/>
    <n v="17400"/>
    <x v="0"/>
    <x v="1"/>
    <x v="0"/>
    <s v="EUR"/>
    <n v="20443.939999999999"/>
  </r>
  <r>
    <s v="1030AT"/>
    <n v="88666"/>
    <d v="2018-10-26T00:00:00"/>
    <n v="8030"/>
    <n v="119"/>
    <m/>
    <n v="330"/>
    <n v="20460"/>
    <x v="0"/>
    <x v="2"/>
    <x v="5"/>
    <s v="EUR"/>
    <n v="24039.25"/>
  </r>
  <r>
    <s v="1030AT"/>
    <n v="88666"/>
    <d v="2018-10-26T00:00:00"/>
    <n v="8030"/>
    <n v="107"/>
    <m/>
    <n v="460"/>
    <n v="2300"/>
    <x v="0"/>
    <x v="2"/>
    <x v="3"/>
    <s v="EUR"/>
    <n v="2702.36"/>
  </r>
  <r>
    <s v="1030AT"/>
    <n v="88666"/>
    <d v="2018-10-26T00:00:00"/>
    <n v="8030"/>
    <n v="105"/>
    <n v="1"/>
    <n v="470"/>
    <n v="4700"/>
    <x v="0"/>
    <x v="2"/>
    <x v="2"/>
    <s v="EUR"/>
    <n v="5522.21"/>
  </r>
  <r>
    <s v="1030AT"/>
    <n v="88666"/>
    <d v="2018-10-26T00:00:00"/>
    <n v="8030"/>
    <n v="115"/>
    <m/>
    <n v="390"/>
    <n v="2340"/>
    <x v="0"/>
    <x v="2"/>
    <x v="10"/>
    <s v="EUR"/>
    <n v="2749.36"/>
  </r>
  <r>
    <s v="1030AT"/>
    <n v="88666"/>
    <d v="2018-10-26T00:00:00"/>
    <n v="8030"/>
    <n v="116"/>
    <m/>
    <n v="260"/>
    <n v="1560"/>
    <x v="0"/>
    <x v="2"/>
    <x v="6"/>
    <s v="EUR"/>
    <n v="1832.9"/>
  </r>
  <r>
    <s v="1040DE"/>
    <n v="44030"/>
    <d v="2018-10-04T00:00:00"/>
    <n v="8060"/>
    <n v="108"/>
    <s v=""/>
    <n v="60"/>
    <n v="1680"/>
    <x v="1"/>
    <x v="3"/>
    <x v="11"/>
    <s v="EUR"/>
    <n v="1973.9"/>
  </r>
  <r>
    <s v="1040DE"/>
    <n v="44030"/>
    <d v="2018-10-04T00:00:00"/>
    <n v="8060"/>
    <n v="109"/>
    <n v="1"/>
    <n v="60"/>
    <n v="1680"/>
    <x v="1"/>
    <x v="3"/>
    <x v="8"/>
    <s v="EUR"/>
    <n v="1973.9"/>
  </r>
  <r>
    <s v="1040DE"/>
    <n v="44032"/>
    <d v="2018-10-07T00:00:00"/>
    <n v="8060"/>
    <n v="108"/>
    <s v=""/>
    <n v="60"/>
    <n v="1680"/>
    <x v="1"/>
    <x v="3"/>
    <x v="11"/>
    <s v="EUR"/>
    <n v="1973.9"/>
  </r>
  <r>
    <s v="1040DE"/>
    <n v="44032"/>
    <d v="2018-10-07T00:00:00"/>
    <n v="8060"/>
    <n v="109"/>
    <m/>
    <n v="70"/>
    <n v="1960"/>
    <x v="1"/>
    <x v="3"/>
    <x v="8"/>
    <s v="EUR"/>
    <n v="2302.88"/>
  </r>
  <r>
    <s v="1040DE"/>
    <n v="44031"/>
    <d v="2018-10-08T00:00:00"/>
    <n v="8050"/>
    <n v="108"/>
    <s v=""/>
    <n v="60"/>
    <n v="1680"/>
    <x v="1"/>
    <x v="0"/>
    <x v="11"/>
    <s v="EUR"/>
    <n v="1973.9"/>
  </r>
  <r>
    <s v="1040DE"/>
    <n v="44031"/>
    <d v="2018-10-08T00:00:00"/>
    <n v="8050"/>
    <n v="109"/>
    <s v=""/>
    <n v="50"/>
    <n v="1400"/>
    <x v="1"/>
    <x v="0"/>
    <x v="8"/>
    <s v="EUR"/>
    <n v="1644.91"/>
  </r>
  <r>
    <s v="1040DE"/>
    <n v="44031"/>
    <d v="2018-10-08T00:00:00"/>
    <n v="8050"/>
    <n v="110"/>
    <s v=""/>
    <n v="60"/>
    <n v="3600"/>
    <x v="1"/>
    <x v="0"/>
    <x v="4"/>
    <s v="EUR"/>
    <n v="4229.78"/>
  </r>
  <r>
    <s v="1040DE"/>
    <n v="48112"/>
    <d v="2018-10-11T00:00:00"/>
    <n v="8060"/>
    <n v="109"/>
    <m/>
    <n v="60"/>
    <n v="1680"/>
    <x v="1"/>
    <x v="3"/>
    <x v="8"/>
    <s v="EUR"/>
    <n v="1973.9"/>
  </r>
  <r>
    <s v="1040DE"/>
    <n v="48112"/>
    <d v="2018-10-11T00:00:00"/>
    <n v="8060"/>
    <n v="110"/>
    <s v=""/>
    <n v="50"/>
    <n v="3000"/>
    <x v="1"/>
    <x v="3"/>
    <x v="4"/>
    <s v="EUR"/>
    <n v="3524.82"/>
  </r>
  <r>
    <s v="1040DE"/>
    <n v="48114"/>
    <d v="2018-10-11T00:00:00"/>
    <n v="8050"/>
    <n v="109"/>
    <m/>
    <n v="60"/>
    <n v="1680"/>
    <x v="1"/>
    <x v="0"/>
    <x v="8"/>
    <s v="EUR"/>
    <n v="1973.9"/>
  </r>
  <r>
    <s v="1040DE"/>
    <n v="48114"/>
    <d v="2018-10-11T00:00:00"/>
    <n v="8050"/>
    <n v="110"/>
    <m/>
    <n v="60"/>
    <n v="3600"/>
    <x v="1"/>
    <x v="0"/>
    <x v="4"/>
    <s v="EUR"/>
    <n v="4229.78"/>
  </r>
  <r>
    <s v="1040DE"/>
    <n v="48114"/>
    <d v="2018-10-11T00:00:00"/>
    <n v="8050"/>
    <n v="111"/>
    <m/>
    <n v="80"/>
    <n v="1600"/>
    <x v="1"/>
    <x v="0"/>
    <x v="7"/>
    <s v="EUR"/>
    <n v="1879.9"/>
  </r>
  <r>
    <s v="1040DE"/>
    <n v="48116"/>
    <d v="2018-10-11T00:00:00"/>
    <n v="8060"/>
    <n v="109"/>
    <m/>
    <n v="60"/>
    <n v="1680"/>
    <x v="1"/>
    <x v="3"/>
    <x v="8"/>
    <s v="EUR"/>
    <n v="1973.9"/>
  </r>
  <r>
    <s v="1040DE"/>
    <n v="48116"/>
    <d v="2018-10-11T00:00:00"/>
    <n v="8060"/>
    <n v="110"/>
    <m/>
    <n v="60"/>
    <n v="3600"/>
    <x v="1"/>
    <x v="3"/>
    <x v="4"/>
    <s v="EUR"/>
    <n v="4229.78"/>
  </r>
  <r>
    <s v="1040DE"/>
    <n v="45442"/>
    <d v="2018-10-15T00:00:00"/>
    <n v="8050"/>
    <n v="108"/>
    <m/>
    <n v="50"/>
    <n v="1400"/>
    <x v="1"/>
    <x v="0"/>
    <x v="11"/>
    <s v="EUR"/>
    <n v="1644.91"/>
  </r>
  <r>
    <s v="1040DE"/>
    <n v="45442"/>
    <d v="2018-10-15T00:00:00"/>
    <n v="8050"/>
    <n v="109"/>
    <n v="1"/>
    <n v="60"/>
    <n v="1680"/>
    <x v="1"/>
    <x v="0"/>
    <x v="8"/>
    <s v="EUR"/>
    <n v="1973.9"/>
  </r>
  <r>
    <s v="1040DE"/>
    <n v="45444"/>
    <d v="2018-10-15T00:00:00"/>
    <n v="8060"/>
    <n v="108"/>
    <m/>
    <n v="60"/>
    <n v="1680"/>
    <x v="1"/>
    <x v="3"/>
    <x v="11"/>
    <s v="EUR"/>
    <n v="1973.9"/>
  </r>
  <r>
    <s v="1040DE"/>
    <n v="45444"/>
    <d v="2018-10-15T00:00:00"/>
    <n v="8060"/>
    <n v="109"/>
    <m/>
    <n v="70"/>
    <n v="1960"/>
    <x v="1"/>
    <x v="3"/>
    <x v="8"/>
    <s v="EUR"/>
    <n v="2302.88"/>
  </r>
  <r>
    <s v="1040DE"/>
    <n v="45444"/>
    <d v="2018-10-15T00:00:00"/>
    <n v="8060"/>
    <n v="110"/>
    <m/>
    <n v="60"/>
    <n v="3600"/>
    <x v="1"/>
    <x v="3"/>
    <x v="4"/>
    <s v="EUR"/>
    <n v="4229.78"/>
  </r>
  <r>
    <s v="1040DE"/>
    <n v="45446"/>
    <d v="2018-10-15T00:00:00"/>
    <n v="8050"/>
    <n v="111"/>
    <m/>
    <n v="80"/>
    <n v="1600"/>
    <x v="1"/>
    <x v="0"/>
    <x v="7"/>
    <s v="EUR"/>
    <n v="1879.9"/>
  </r>
  <r>
    <s v="1040DE"/>
    <n v="45446"/>
    <d v="2018-10-15T00:00:00"/>
    <n v="8050"/>
    <n v="108"/>
    <m/>
    <n v="50"/>
    <n v="1400"/>
    <x v="1"/>
    <x v="0"/>
    <x v="11"/>
    <s v="EUR"/>
    <n v="1644.91"/>
  </r>
  <r>
    <s v="1040DE"/>
    <n v="44015"/>
    <d v="2018-10-10T00:00:00"/>
    <n v="8060"/>
    <n v="108"/>
    <m/>
    <n v="60"/>
    <n v="1680"/>
    <x v="1"/>
    <x v="3"/>
    <x v="11"/>
    <s v="EUR"/>
    <n v="1973.9"/>
  </r>
  <r>
    <s v="1040DE"/>
    <n v="44015"/>
    <d v="2018-10-10T00:00:00"/>
    <n v="8060"/>
    <n v="109"/>
    <m/>
    <n v="70"/>
    <n v="1960"/>
    <x v="1"/>
    <x v="3"/>
    <x v="8"/>
    <s v="EUR"/>
    <n v="2302.88"/>
  </r>
  <r>
    <s v="1040DE"/>
    <n v="44017"/>
    <d v="2018-10-13T00:00:00"/>
    <n v="8060"/>
    <n v="108"/>
    <m/>
    <n v="70"/>
    <n v="1960"/>
    <x v="1"/>
    <x v="3"/>
    <x v="11"/>
    <s v="EUR"/>
    <n v="2302.88"/>
  </r>
  <r>
    <s v="1040DE"/>
    <n v="44017"/>
    <d v="2018-10-13T00:00:00"/>
    <n v="8060"/>
    <n v="109"/>
    <m/>
    <n v="70"/>
    <n v="1960"/>
    <x v="1"/>
    <x v="3"/>
    <x v="8"/>
    <s v="EUR"/>
    <n v="2302.88"/>
  </r>
  <r>
    <s v="1040DE"/>
    <n v="44016"/>
    <d v="2018-10-14T00:00:00"/>
    <n v="8050"/>
    <n v="108"/>
    <m/>
    <n v="70"/>
    <n v="1960"/>
    <x v="1"/>
    <x v="0"/>
    <x v="11"/>
    <s v="EUR"/>
    <n v="2302.88"/>
  </r>
  <r>
    <s v="1040DE"/>
    <n v="44016"/>
    <d v="2018-10-14T00:00:00"/>
    <n v="8050"/>
    <n v="109"/>
    <n v="1"/>
    <n v="60"/>
    <n v="1680"/>
    <x v="1"/>
    <x v="0"/>
    <x v="8"/>
    <s v="EUR"/>
    <n v="1973.9"/>
  </r>
  <r>
    <s v="1040DE"/>
    <n v="44016"/>
    <d v="2018-10-14T00:00:00"/>
    <n v="8050"/>
    <n v="110"/>
    <m/>
    <n v="50"/>
    <n v="3000"/>
    <x v="1"/>
    <x v="0"/>
    <x v="4"/>
    <s v="EUR"/>
    <n v="3524.82"/>
  </r>
  <r>
    <s v="1040DE"/>
    <n v="48097"/>
    <d v="2018-10-17T00:00:00"/>
    <n v="8060"/>
    <n v="109"/>
    <m/>
    <n v="60"/>
    <n v="1680"/>
    <x v="1"/>
    <x v="3"/>
    <x v="8"/>
    <s v="EUR"/>
    <n v="1973.9"/>
  </r>
  <r>
    <s v="1040DE"/>
    <n v="48097"/>
    <d v="2018-10-17T00:00:00"/>
    <n v="8060"/>
    <n v="110"/>
    <m/>
    <n v="70"/>
    <n v="4200"/>
    <x v="1"/>
    <x v="3"/>
    <x v="4"/>
    <s v="EUR"/>
    <n v="4934.74"/>
  </r>
  <r>
    <s v="1040DE"/>
    <n v="48099"/>
    <d v="2018-10-17T00:00:00"/>
    <n v="8050"/>
    <n v="109"/>
    <n v="1"/>
    <n v="60"/>
    <n v="1680"/>
    <x v="1"/>
    <x v="0"/>
    <x v="8"/>
    <s v="EUR"/>
    <n v="1973.9"/>
  </r>
  <r>
    <s v="1040DE"/>
    <n v="48099"/>
    <d v="2018-10-17T00:00:00"/>
    <n v="8050"/>
    <n v="110"/>
    <m/>
    <n v="60"/>
    <n v="3600"/>
    <x v="1"/>
    <x v="0"/>
    <x v="4"/>
    <s v="EUR"/>
    <n v="4229.78"/>
  </r>
  <r>
    <s v="1040DE"/>
    <n v="48099"/>
    <d v="2018-10-17T00:00:00"/>
    <n v="8050"/>
    <n v="111"/>
    <m/>
    <n v="60"/>
    <n v="1200"/>
    <x v="1"/>
    <x v="0"/>
    <x v="7"/>
    <s v="EUR"/>
    <n v="1409.93"/>
  </r>
  <r>
    <s v="1040DE"/>
    <n v="48101"/>
    <d v="2018-10-17T00:00:00"/>
    <n v="8060"/>
    <n v="109"/>
    <m/>
    <n v="60"/>
    <n v="1680"/>
    <x v="1"/>
    <x v="3"/>
    <x v="8"/>
    <s v="EUR"/>
    <n v="1973.9"/>
  </r>
  <r>
    <s v="1040DE"/>
    <n v="48101"/>
    <d v="2018-10-17T00:00:00"/>
    <n v="8060"/>
    <n v="110"/>
    <m/>
    <n v="50"/>
    <n v="3000"/>
    <x v="1"/>
    <x v="3"/>
    <x v="4"/>
    <s v="EUR"/>
    <n v="3524.82"/>
  </r>
  <r>
    <s v="1040DE"/>
    <n v="45427"/>
    <d v="2018-10-21T00:00:00"/>
    <n v="8050"/>
    <n v="108"/>
    <m/>
    <n v="70"/>
    <n v="1960"/>
    <x v="1"/>
    <x v="0"/>
    <x v="11"/>
    <s v="EUR"/>
    <n v="2302.88"/>
  </r>
  <r>
    <s v="1040DE"/>
    <n v="45427"/>
    <d v="2018-10-21T00:00:00"/>
    <n v="8050"/>
    <n v="109"/>
    <m/>
    <n v="60"/>
    <n v="1680"/>
    <x v="1"/>
    <x v="0"/>
    <x v="8"/>
    <s v="EUR"/>
    <n v="1973.9"/>
  </r>
  <r>
    <s v="1040DE"/>
    <n v="45429"/>
    <d v="2018-10-21T00:00:00"/>
    <n v="8060"/>
    <n v="108"/>
    <m/>
    <n v="80"/>
    <n v="2240"/>
    <x v="1"/>
    <x v="3"/>
    <x v="11"/>
    <s v="EUR"/>
    <n v="2631.86"/>
  </r>
  <r>
    <s v="1040DE"/>
    <n v="45429"/>
    <d v="2018-10-21T00:00:00"/>
    <n v="8060"/>
    <n v="109"/>
    <n v="2"/>
    <n v="80"/>
    <n v="2240"/>
    <x v="1"/>
    <x v="3"/>
    <x v="8"/>
    <s v="EUR"/>
    <n v="2631.86"/>
  </r>
  <r>
    <s v="1040DE"/>
    <n v="45429"/>
    <d v="2018-10-21T00:00:00"/>
    <n v="8060"/>
    <n v="110"/>
    <m/>
    <n v="50"/>
    <n v="3000"/>
    <x v="1"/>
    <x v="3"/>
    <x v="4"/>
    <s v="EUR"/>
    <n v="3524.82"/>
  </r>
  <r>
    <s v="1040DE"/>
    <n v="45431"/>
    <d v="2018-10-21T00:00:00"/>
    <n v="8050"/>
    <n v="111"/>
    <m/>
    <n v="60"/>
    <n v="1200"/>
    <x v="1"/>
    <x v="0"/>
    <x v="7"/>
    <s v="EUR"/>
    <n v="1409.93"/>
  </r>
  <r>
    <s v="1040DE"/>
    <n v="45431"/>
    <d v="2018-10-21T00:00:00"/>
    <n v="8050"/>
    <n v="108"/>
    <m/>
    <n v="60"/>
    <n v="1680"/>
    <x v="1"/>
    <x v="0"/>
    <x v="11"/>
    <s v="EUR"/>
    <n v="1973.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PTReject" cacheId="0" applyNumberFormats="0" applyBorderFormats="0" applyFontFormats="0" applyPatternFormats="0" applyAlignmentFormats="0" applyWidthHeightFormats="1" dataCaption="Values" grandTotalCaption="Total" updatedVersion="6" minRefreshableVersion="3" itemPrintTitles="1" createdVersion="6" indent="0" compact="0" compactData="0" multipleFieldFilters="0">
  <location ref="AC5:AE13" firstHeaderRow="0" firstDataRow="1" firstDataCol="1"/>
  <pivotFields count="14">
    <pivotField compact="0" outline="0" subtotalTop="0" showAll="0"/>
    <pivotField compact="0" outline="0" subtotalTop="0" showAll="0"/>
    <pivotField compact="0" numFmtId="14" outline="0" subtotalTop="0" showAll="0"/>
    <pivotField compact="0" outline="0" subtotalTop="0" showAll="0"/>
    <pivotField compact="0" outline="0" subtotalTop="0" showAll="0"/>
    <pivotField dataField="1" compact="0" outline="0" subtotalTop="0" showAll="0"/>
    <pivotField compact="0" outline="0" subtotalTop="0" showAll="0"/>
    <pivotField compact="0" outline="0" subtotalTop="0" showAll="0"/>
    <pivotField compact="0" outline="0" subtotalTop="0" showAll="0">
      <items count="9">
        <item m="1" x="5"/>
        <item m="1" x="7"/>
        <item x="0"/>
        <item x="1"/>
        <item m="1" x="3"/>
        <item m="1" x="4"/>
        <item m="1" x="6"/>
        <item m="1" x="2"/>
        <item t="default"/>
      </items>
    </pivotField>
    <pivotField compact="0" outline="0" subtotalTop="0" showAll="0"/>
    <pivotField name="Article" axis="axisRow" compact="0" outline="0" subtotalTop="0" showAll="0" measureFilter="1" sortType="descending">
      <items count="22">
        <item x="11"/>
        <item x="8"/>
        <item m="1" x="19"/>
        <item m="1" x="12"/>
        <item m="1" x="15"/>
        <item m="1" x="17"/>
        <item m="1" x="20"/>
        <item m="1" x="18"/>
        <item m="1" x="13"/>
        <item m="1" x="14"/>
        <item x="4"/>
        <item x="7"/>
        <item x="10"/>
        <item x="3"/>
        <item x="0"/>
        <item x="9"/>
        <item x="1"/>
        <item x="2"/>
        <item x="5"/>
        <item m="1" x="16"/>
        <item x="6"/>
        <item t="default"/>
      </items>
      <autoSortScope>
        <pivotArea dataOnly="0" outline="0" fieldPosition="0">
          <references count="1">
            <reference field="4294967294" count="1" selected="0">
              <x v="0"/>
            </reference>
          </references>
        </pivotArea>
      </autoSortScope>
    </pivotField>
    <pivotField compact="0" outline="0" subtotalTop="0" showAll="0"/>
    <pivotField compact="0" numFmtId="2" outline="0" subtotalTop="0" showAll="0"/>
    <pivotField dataField="1" compact="0" outline="0" dragToRow="0" dragToCol="0" dragToPage="0" showAll="0" defaultSubtotal="0"/>
  </pivotFields>
  <rowFields count="1">
    <field x="10"/>
  </rowFields>
  <rowItems count="8">
    <i>
      <x v="1"/>
    </i>
    <i>
      <x v="20"/>
    </i>
    <i>
      <x v="10"/>
    </i>
    <i>
      <x v="17"/>
    </i>
    <i>
      <x v="18"/>
    </i>
    <i>
      <x v="13"/>
    </i>
    <i>
      <x v="16"/>
    </i>
    <i t="grand">
      <x/>
    </i>
  </rowItems>
  <colFields count="1">
    <field x="-2"/>
  </colFields>
  <colItems count="2">
    <i>
      <x/>
    </i>
    <i i="1">
      <x v="1"/>
    </i>
  </colItems>
  <dataFields count="2">
    <dataField name="Reject " fld="5" baseField="10" baseItem="0"/>
    <dataField name="Reject % " fld="13" baseField="0" baseItem="0" numFmtId="165"/>
  </dataFields>
  <formats count="5">
    <format dxfId="21">
      <pivotArea dataOnly="0" labelOnly="1" outline="0" fieldPosition="0">
        <references count="1">
          <reference field="4294967294" count="1">
            <x v="0"/>
          </reference>
        </references>
      </pivotArea>
    </format>
    <format dxfId="20">
      <pivotArea outline="0" fieldPosition="0">
        <references count="1">
          <reference field="4294967294" count="1">
            <x v="1"/>
          </reference>
        </references>
      </pivotArea>
    </format>
    <format dxfId="19">
      <pivotArea outline="0" fieldPosition="0">
        <references count="1">
          <reference field="4294967294" count="1">
            <x v="1"/>
          </reference>
        </references>
      </pivotArea>
    </format>
    <format dxfId="18">
      <pivotArea dataOnly="0" labelOnly="1" outline="0" fieldPosition="0">
        <references count="1">
          <reference field="4294967294" count="2">
            <x v="0"/>
            <x v="1"/>
          </reference>
        </references>
      </pivotArea>
    </format>
    <format dxfId="17">
      <pivotArea dataOnly="0" labelOnly="1" outline="0" fieldPosition="0">
        <references count="1">
          <reference field="4294967294" count="2">
            <x v="0"/>
            <x v="1"/>
          </reference>
        </references>
      </pivotArea>
    </format>
  </formats>
  <pivotTableStyleInfo name="MyPivotStyle" showRowHeaders="1" showColHeaders="1" showRowStripes="0" showColStripes="0" showLastColumn="1"/>
  <filters count="1">
    <filter fld="10"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TArticle" cacheId="0" applyNumberFormats="0" applyBorderFormats="0" applyFontFormats="0" applyPatternFormats="0" applyAlignmentFormats="0" applyWidthHeightFormats="1" dataCaption="Values" grandTotalCaption="Total" updatedVersion="6" minRefreshableVersion="3" itemPrintTitles="1" createdVersion="6" indent="0" compact="0" compactData="0" multipleFieldFilters="0">
  <location ref="X5:Z18" firstHeaderRow="0" firstDataRow="1" firstDataCol="1"/>
  <pivotFields count="14">
    <pivotField compact="0" outline="0" subtotalTop="0" showAll="0"/>
    <pivotField compact="0" outline="0" subtotalTop="0" showAll="0"/>
    <pivotField compact="0" numFmtId="14" outline="0" subtotalTop="0" showAll="0"/>
    <pivotField compact="0" outline="0" subtotalTop="0" showAll="0"/>
    <pivotField compact="0" outline="0" subtotalTop="0" showAll="0"/>
    <pivotField compact="0" outline="0" subtotalTop="0" showAll="0"/>
    <pivotField dataField="1" compact="0" outline="0" subtotalTop="0" showAll="0"/>
    <pivotField compact="0" outline="0" subtotalTop="0" showAll="0"/>
    <pivotField compact="0" outline="0" subtotalTop="0" showAll="0">
      <items count="9">
        <item m="1" x="5"/>
        <item m="1" x="7"/>
        <item x="0"/>
        <item x="1"/>
        <item m="1" x="3"/>
        <item m="1" x="4"/>
        <item m="1" x="6"/>
        <item m="1" x="2"/>
        <item t="default"/>
      </items>
    </pivotField>
    <pivotField compact="0" outline="0" subtotalTop="0" showAll="0"/>
    <pivotField name="Article" axis="axisRow" compact="0" outline="0" subtotalTop="0" showAll="0" sortType="descending">
      <items count="22">
        <item x="11"/>
        <item x="8"/>
        <item m="1" x="19"/>
        <item m="1" x="12"/>
        <item m="1" x="15"/>
        <item m="1" x="17"/>
        <item m="1" x="20"/>
        <item m="1" x="18"/>
        <item m="1" x="13"/>
        <item m="1" x="14"/>
        <item x="4"/>
        <item x="7"/>
        <item x="10"/>
        <item x="3"/>
        <item x="2"/>
        <item x="0"/>
        <item x="5"/>
        <item x="1"/>
        <item x="9"/>
        <item m="1" x="16"/>
        <item x="6"/>
        <item t="default"/>
      </items>
      <autoSortScope>
        <pivotArea dataOnly="0" outline="0" fieldPosition="0">
          <references count="1">
            <reference field="4294967294" count="1" selected="0">
              <x v="0"/>
            </reference>
          </references>
        </pivotArea>
      </autoSortScope>
    </pivotField>
    <pivotField compact="0" outline="0" subtotalTop="0" showAll="0"/>
    <pivotField dataField="1" compact="0" numFmtId="2" outline="0" subtotalTop="0" showAll="0"/>
    <pivotField compact="0" outline="0" dragToRow="0" dragToCol="0" dragToPage="0" showAll="0" defaultSubtotal="0"/>
  </pivotFields>
  <rowFields count="1">
    <field x="10"/>
  </rowFields>
  <rowItems count="13">
    <i>
      <x v="10"/>
    </i>
    <i>
      <x v="16"/>
    </i>
    <i>
      <x v="15"/>
    </i>
    <i>
      <x v="1"/>
    </i>
    <i>
      <x/>
    </i>
    <i>
      <x v="11"/>
    </i>
    <i>
      <x v="17"/>
    </i>
    <i>
      <x v="13"/>
    </i>
    <i>
      <x v="18"/>
    </i>
    <i>
      <x v="14"/>
    </i>
    <i>
      <x v="12"/>
    </i>
    <i>
      <x v="20"/>
    </i>
    <i t="grand">
      <x/>
    </i>
  </rowItems>
  <colFields count="1">
    <field x="-2"/>
  </colFields>
  <colItems count="2">
    <i>
      <x/>
    </i>
    <i i="1">
      <x v="1"/>
    </i>
  </colItems>
  <dataFields count="2">
    <dataField name="$ Sales" fld="12" baseField="0" baseItem="0" numFmtId="3"/>
    <dataField name="Quantity " fld="6" baseField="10" baseItem="15" numFmtId="1"/>
  </dataFields>
  <formats count="7">
    <format dxfId="28">
      <pivotArea dataOnly="0" labelOnly="1" outline="0" axis="axisValues" fieldPosition="0"/>
    </format>
    <format dxfId="27">
      <pivotArea dataOnly="0" labelOnly="1" outline="0" axis="axisValues" fieldPosition="0"/>
    </format>
    <format dxfId="26">
      <pivotArea outline="0" fieldPosition="0">
        <references count="1">
          <reference field="4294967294" count="1">
            <x v="0"/>
          </reference>
        </references>
      </pivotArea>
    </format>
    <format dxfId="25">
      <pivotArea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0"/>
          </reference>
        </references>
      </pivotArea>
    </format>
    <format dxfId="22">
      <pivotArea dataOnly="0" labelOnly="1" outline="0" fieldPosition="0">
        <references count="1">
          <reference field="4294967294" count="1">
            <x v="1"/>
          </reference>
        </references>
      </pivotArea>
    </format>
  </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PTRegion" cacheId="0" applyNumberFormats="0" applyBorderFormats="0" applyFontFormats="0" applyPatternFormats="0" applyAlignmentFormats="0" applyWidthHeightFormats="1" dataCaption="Values" grandTotalCaption="Total" updatedVersion="6" minRefreshableVersion="3" itemPrintTitles="1" createdVersion="6" indent="0" compact="0" compactData="0" multipleFieldFilters="0" chartFormat="1">
  <location ref="S5:U10" firstHeaderRow="0" firstDataRow="1" firstDataCol="1"/>
  <pivotFields count="14">
    <pivotField compact="0" outline="0" subtotalTop="0" showAll="0"/>
    <pivotField compact="0" outline="0" subtotalTop="0" showAll="0"/>
    <pivotField compact="0" numFmtId="14"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name="Customer" axis="axisRow" compact="0" outline="0" subtotalTop="0" showAll="0" sortType="descending">
      <items count="11">
        <item m="1" x="6"/>
        <item m="1" x="7"/>
        <item m="1" x="8"/>
        <item x="2"/>
        <item m="1" x="9"/>
        <item m="1" x="4"/>
        <item m="1" x="5"/>
        <item x="0"/>
        <item x="1"/>
        <item x="3"/>
        <item t="default"/>
      </items>
      <autoSortScope>
        <pivotArea dataOnly="0" outline="0" fieldPosition="0">
          <references count="1">
            <reference field="4294967294" count="1" selected="0">
              <x v="0"/>
            </reference>
          </references>
        </pivotArea>
      </autoSortScope>
    </pivotField>
    <pivotField compact="0" outline="0" subtotalTop="0" showAll="0"/>
    <pivotField compact="0" outline="0" subtotalTop="0" showAll="0"/>
    <pivotField dataField="1" compact="0" numFmtId="2" outline="0" subtotalTop="0" showAll="0"/>
    <pivotField compact="0" outline="0" dragToRow="0" dragToCol="0" dragToPage="0" showAll="0" defaultSubtotal="0"/>
  </pivotFields>
  <rowFields count="1">
    <field x="9"/>
  </rowFields>
  <rowItems count="5">
    <i>
      <x v="8"/>
    </i>
    <i>
      <x v="7"/>
    </i>
    <i>
      <x v="9"/>
    </i>
    <i>
      <x v="3"/>
    </i>
    <i t="grand">
      <x/>
    </i>
  </rowItems>
  <colFields count="1">
    <field x="-2"/>
  </colFields>
  <colItems count="2">
    <i>
      <x/>
    </i>
    <i i="1">
      <x v="1"/>
    </i>
  </colItems>
  <dataFields count="2">
    <dataField name="$ Sales" fld="12" baseField="0" baseItem="0" numFmtId="164"/>
    <dataField name=" " fld="12" showDataAs="percentOfTotal" baseField="0" baseItem="0" numFmtId="9"/>
  </dataFields>
  <formats count="5">
    <format dxfId="33">
      <pivotArea dataOnly="0" labelOnly="1" outline="0" axis="axisValues" fieldPosition="0"/>
    </format>
    <format dxfId="32">
      <pivotArea dataOnly="0" labelOnly="1" outline="0" axis="axisValues" fieldPosition="0"/>
    </format>
    <format dxfId="31">
      <pivotArea outline="0" fieldPosition="0">
        <references count="1">
          <reference field="4294967294" count="1">
            <x v="1"/>
          </reference>
        </references>
      </pivotArea>
    </format>
    <format dxfId="30">
      <pivotArea outline="0" fieldPosition="0">
        <references count="1">
          <reference field="4294967294" count="1">
            <x v="1"/>
          </reference>
        </references>
      </pivotArea>
    </format>
    <format dxfId="29">
      <pivotArea dataOnly="0" labelOnly="1" outline="0" fieldPosition="0">
        <references count="1">
          <reference field="4294967294" count="1">
            <x v="0"/>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PTManager" cacheId="0" applyNumberFormats="0" applyBorderFormats="0" applyFontFormats="0" applyPatternFormats="0" applyAlignmentFormats="0" applyWidthHeightFormats="1" dataCaption="Values" grandTotalCaption="Total" updatedVersion="6" minRefreshableVersion="3" showDrill="0" itemPrintTitles="1" createdVersion="6" indent="0" outline="1" outlineData="1" multipleFieldFilters="0">
  <location ref="AK3:AM48" firstHeaderRow="0" firstDataRow="1" firstDataCol="1"/>
  <pivotFields count="14">
    <pivotField subtotalTop="0" showAll="0"/>
    <pivotField subtotalTop="0" showAll="0"/>
    <pivotField numFmtId="14" subtotalTop="0" showAll="0"/>
    <pivotField subtotalTop="0" showAll="0"/>
    <pivotField subtotalTop="0" showAll="0"/>
    <pivotField subtotalTop="0" showAll="0"/>
    <pivotField dataField="1" subtotalTop="0" showAll="0"/>
    <pivotField subtotalTop="0" showAll="0"/>
    <pivotField axis="axisRow" subtotalTop="0" showAll="0">
      <items count="9">
        <item x="0"/>
        <item m="1" x="3"/>
        <item m="1" x="4"/>
        <item x="1"/>
        <item m="1" x="6"/>
        <item m="1" x="2"/>
        <item m="1" x="5"/>
        <item m="1" x="7"/>
        <item t="default"/>
      </items>
    </pivotField>
    <pivotField axis="axisRow" subtotalTop="0" showAll="0">
      <items count="11">
        <item m="1" x="6"/>
        <item m="1" x="7"/>
        <item m="1" x="8"/>
        <item x="2"/>
        <item m="1" x="9"/>
        <item m="1" x="4"/>
        <item m="1" x="5"/>
        <item x="0"/>
        <item x="1"/>
        <item x="3"/>
        <item t="default"/>
      </items>
    </pivotField>
    <pivotField axis="axisRow" subtotalTop="0" showAll="0" sortType="descending">
      <items count="22">
        <item x="11"/>
        <item x="8"/>
        <item m="1" x="19"/>
        <item m="1" x="12"/>
        <item m="1" x="15"/>
        <item m="1" x="17"/>
        <item m="1" x="20"/>
        <item m="1" x="18"/>
        <item m="1" x="13"/>
        <item m="1" x="14"/>
        <item x="4"/>
        <item x="7"/>
        <item x="10"/>
        <item x="3"/>
        <item x="2"/>
        <item x="0"/>
        <item x="5"/>
        <item x="1"/>
        <item x="9"/>
        <item m="1" x="16"/>
        <item x="6"/>
        <item t="default"/>
      </items>
      <autoSortScope>
        <pivotArea dataOnly="0" outline="0" fieldPosition="0">
          <references count="1">
            <reference field="4294967294" count="1" selected="0">
              <x v="0"/>
            </reference>
          </references>
        </pivotArea>
      </autoSortScope>
    </pivotField>
    <pivotField subtotalTop="0" showAll="0"/>
    <pivotField dataField="1" numFmtId="2" subtotalTop="0" showAll="0"/>
    <pivotField dragToRow="0" dragToCol="0" dragToPage="0" showAll="0" defaultSubtotal="0"/>
  </pivotFields>
  <rowFields count="3">
    <field x="8"/>
    <field x="9"/>
    <field x="10"/>
  </rowFields>
  <rowItems count="45">
    <i>
      <x/>
    </i>
    <i r="1">
      <x v="3"/>
    </i>
    <i r="2">
      <x v="16"/>
    </i>
    <i r="2">
      <x v="14"/>
    </i>
    <i r="2">
      <x v="12"/>
    </i>
    <i r="2">
      <x v="13"/>
    </i>
    <i r="2">
      <x v="20"/>
    </i>
    <i t="default" r="1">
      <x v="3"/>
    </i>
    <i r="1">
      <x v="7"/>
    </i>
    <i r="2">
      <x v="15"/>
    </i>
    <i r="2">
      <x/>
    </i>
    <i r="2">
      <x v="16"/>
    </i>
    <i r="2">
      <x v="17"/>
    </i>
    <i r="2">
      <x v="18"/>
    </i>
    <i r="2">
      <x v="12"/>
    </i>
    <i r="2">
      <x v="13"/>
    </i>
    <i r="2">
      <x v="14"/>
    </i>
    <i t="default" r="1">
      <x v="7"/>
    </i>
    <i r="1">
      <x v="8"/>
    </i>
    <i r="2">
      <x v="10"/>
    </i>
    <i r="2">
      <x v="16"/>
    </i>
    <i r="2">
      <x v="15"/>
    </i>
    <i r="2">
      <x v="11"/>
    </i>
    <i r="2">
      <x v="1"/>
    </i>
    <i r="2">
      <x v="17"/>
    </i>
    <i r="2">
      <x v="13"/>
    </i>
    <i r="2">
      <x v="20"/>
    </i>
    <i r="2">
      <x v="18"/>
    </i>
    <i r="2">
      <x v="14"/>
    </i>
    <i t="default" r="1">
      <x v="8"/>
    </i>
    <i t="default">
      <x/>
    </i>
    <i>
      <x v="3"/>
    </i>
    <i r="1">
      <x v="7"/>
    </i>
    <i r="2">
      <x v="10"/>
    </i>
    <i r="2">
      <x/>
    </i>
    <i r="2">
      <x v="1"/>
    </i>
    <i r="2">
      <x v="11"/>
    </i>
    <i t="default" r="1">
      <x v="7"/>
    </i>
    <i r="1">
      <x v="9"/>
    </i>
    <i r="2">
      <x v="10"/>
    </i>
    <i r="2">
      <x v="1"/>
    </i>
    <i r="2">
      <x/>
    </i>
    <i t="default" r="1">
      <x v="9"/>
    </i>
    <i t="default">
      <x v="3"/>
    </i>
    <i t="grand">
      <x/>
    </i>
  </rowItems>
  <colFields count="1">
    <field x="-2"/>
  </colFields>
  <colItems count="2">
    <i>
      <x/>
    </i>
    <i i="1">
      <x v="1"/>
    </i>
  </colItems>
  <dataFields count="2">
    <dataField name="Sales in US Dollar" fld="12" baseField="0" baseItem="0" numFmtId="3"/>
    <dataField name=" Quantity" fld="6" baseField="8" baseItem="1" numFmtId="3"/>
  </dataFields>
  <formats count="3">
    <format dxfId="36">
      <pivotArea dataOnly="0" labelOnly="1" outline="0" fieldPosition="0">
        <references count="1">
          <reference field="4294967294" count="1">
            <x v="0"/>
          </reference>
        </references>
      </pivotArea>
    </format>
    <format dxfId="35">
      <pivotArea dataOnly="0" labelOnly="1" outline="0" fieldPosition="0">
        <references count="1">
          <reference field="4294967294" count="1">
            <x v="1"/>
          </reference>
        </references>
      </pivotArea>
    </format>
    <format dxfId="34">
      <pivotArea dataOnly="0" labelOnly="1" outline="0" fieldPosition="0">
        <references count="1">
          <reference field="4294967294" count="1">
            <x v="1"/>
          </reference>
        </references>
      </pivotArea>
    </format>
  </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_Name" xr10:uid="{00000000-0013-0000-FFFF-FFFF01000000}" sourceName="Company Name">
  <pivotTables>
    <pivotTable tabId="7" name="PTArticle"/>
    <pivotTable tabId="7" name="PTReject"/>
  </pivotTables>
  <data>
    <tabular pivotCacheId="1">
      <items count="8">
        <i x="0" s="1"/>
        <i x="1" s="1"/>
        <i x="5" s="1" nd="1"/>
        <i x="7" s="1" nd="1"/>
        <i x="3" s="1" nd="1"/>
        <i x="4" s="1" nd="1"/>
        <i x="6" s="1" nd="1"/>
        <i x="2"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ny Name" xr10:uid="{00000000-0014-0000-FFFF-FFFF01000000}" cache="Slicer_Company_Name" caption="Company Name" columnCount="3" showCaption="0" style="MySlicer"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Temp" displayName="TableTemp" ref="A1:M78" totalsRowShown="0" headerRowDxfId="16" dataDxfId="15">
  <tableColumns count="13">
    <tableColumn id="1" xr3:uid="{00000000-0010-0000-0000-000001000000}" name="Company" dataDxfId="14"/>
    <tableColumn id="2" xr3:uid="{00000000-0010-0000-0000-000002000000}" name="Sales Document" dataDxfId="13"/>
    <tableColumn id="3" xr3:uid="{00000000-0010-0000-0000-000003000000}" name="Document Date" dataDxfId="12"/>
    <tableColumn id="4" xr3:uid="{00000000-0010-0000-0000-000004000000}" name="Customer Code" dataDxfId="11"/>
    <tableColumn id="5" xr3:uid="{00000000-0010-0000-0000-000005000000}" name="Article code" dataDxfId="10"/>
    <tableColumn id="6" xr3:uid="{00000000-0010-0000-0000-000006000000}" name="Reject" dataDxfId="9"/>
    <tableColumn id="7" xr3:uid="{00000000-0010-0000-0000-000007000000}" name="Quantity" dataDxfId="8"/>
    <tableColumn id="8" xr3:uid="{00000000-0010-0000-0000-000008000000}" name="Sales Local Currency" dataDxfId="7"/>
    <tableColumn id="9" xr3:uid="{00000000-0010-0000-0000-000009000000}" name="Company Name" dataDxfId="6">
      <calculatedColumnFormula>VLOOKUP(A2,MCompany[],2,FALSE)</calculatedColumnFormula>
    </tableColumn>
    <tableColumn id="10" xr3:uid="{00000000-0010-0000-0000-00000A000000}" name="Customer Name" dataDxfId="5">
      <calculatedColumnFormula>VLOOKUP(TableTemp[[#This Row],[Customer Code]],MCustomer[],2,FALSE)</calculatedColumnFormula>
    </tableColumn>
    <tableColumn id="11" xr3:uid="{00000000-0010-0000-0000-00000B000000}" name="Article Description" dataDxfId="4">
      <calculatedColumnFormula>VLOOKUP(TableTemp[[#This Row],[Article code]],MArticle[],2,FALSE)</calculatedColumnFormula>
    </tableColumn>
    <tableColumn id="13" xr3:uid="{00000000-0010-0000-0000-00000D000000}" name="Currency" dataDxfId="3">
      <calculatedColumnFormula>VLOOKUP(TableTemp[[#This Row],[Company]],MCompany[],3,FALSE)</calculatedColumnFormula>
    </tableColumn>
    <tableColumn id="12" xr3:uid="{00000000-0010-0000-0000-00000C000000}" name="Sales US Dollar" dataDxfId="2">
      <calculatedColumnFormula>IF(TableTemp[[#This Row],[Currency]]="EUR",ROUND(VLOOKUP(MONTH(TableTemp[[#This Row],[Document Date]]),MExchange[],2,FALSE)*TableTemp[[#This Row],[Sales Local Currency]],2),ROUND(TableTemp[[#This Row],[Sales Local Currency]],2))</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Company" displayName="MCompany" ref="B8:E12" tableBorderDxfId="1">
  <autoFilter ref="B8:E12" xr:uid="{00000000-0009-0000-0100-000002000000}">
    <filterColumn colId="0" hiddenButton="1"/>
    <filterColumn colId="1" hiddenButton="1"/>
    <filterColumn colId="2" hiddenButton="1"/>
    <filterColumn colId="3" hiddenButton="1"/>
  </autoFilter>
  <tableColumns count="4">
    <tableColumn id="1" xr3:uid="{00000000-0010-0000-0100-000001000000}" name="Company code" totalsRowLabel="Total"/>
    <tableColumn id="2" xr3:uid="{00000000-0010-0000-0100-000002000000}" name="Company Name"/>
    <tableColumn id="3" xr3:uid="{00000000-0010-0000-0100-000003000000}" name="Currency" totalsRowFunction="count"/>
    <tableColumn id="4" xr3:uid="{00000000-0010-0000-0100-000004000000}" name="Regio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MCustomer" displayName="MCustomer" ref="B16:C22" totalsRowShown="0">
  <autoFilter ref="B16:C22" xr:uid="{00000000-0009-0000-0100-000003000000}">
    <filterColumn colId="0" hiddenButton="1"/>
    <filterColumn colId="1" hiddenButton="1"/>
  </autoFilter>
  <tableColumns count="2">
    <tableColumn id="1" xr3:uid="{00000000-0010-0000-0200-000001000000}" name="Customer code"/>
    <tableColumn id="2" xr3:uid="{00000000-0010-0000-0200-000002000000}" name="Customer Name"/>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MArticle" displayName="MArticle" ref="B26:C46" totalsRowShown="0">
  <autoFilter ref="B26:C46" xr:uid="{00000000-0009-0000-0100-000004000000}">
    <filterColumn colId="0" hiddenButton="1"/>
    <filterColumn colId="1" hiddenButton="1"/>
  </autoFilter>
  <tableColumns count="2">
    <tableColumn id="1" xr3:uid="{00000000-0010-0000-0300-000001000000}" name="Article code" dataDxfId="0"/>
    <tableColumn id="2" xr3:uid="{00000000-0010-0000-0300-000002000000}" name="Description"/>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MExchange" displayName="MExchange" ref="B52:C64" totalsRowShown="0">
  <autoFilter ref="B52:C64" xr:uid="{00000000-0009-0000-0100-000005000000}">
    <filterColumn colId="0" hiddenButton="1"/>
    <filterColumn colId="1" hiddenButton="1"/>
  </autoFilter>
  <tableColumns count="2">
    <tableColumn id="1" xr3:uid="{00000000-0010-0000-0400-000001000000}" name="Month"/>
    <tableColumn id="2" xr3:uid="{00000000-0010-0000-0400-000002000000}" name="EUR to $"/>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1.xml"/><Relationship Id="rId5" Type="http://schemas.openxmlformats.org/officeDocument/2006/relationships/drawing" Target="../drawings/drawing2.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Start">
    <tabColor theme="1" tint="0.499984740745262"/>
  </sheetPr>
  <dimension ref="A1:Q37"/>
  <sheetViews>
    <sheetView showGridLines="0" zoomScale="110" zoomScaleNormal="110" workbookViewId="0">
      <selection activeCell="Q13" sqref="Q13"/>
    </sheetView>
  </sheetViews>
  <sheetFormatPr defaultColWidth="0" defaultRowHeight="13.2" zeroHeight="1" x14ac:dyDescent="0.25"/>
  <cols>
    <col min="1" max="1" width="4" customWidth="1"/>
    <col min="2" max="2" width="9.109375" customWidth="1"/>
    <col min="3" max="3" width="19.88671875" customWidth="1"/>
    <col min="4" max="4" width="9.109375" customWidth="1"/>
    <col min="5" max="5" width="5.88671875" customWidth="1"/>
    <col min="6" max="6" width="9.109375" customWidth="1"/>
    <col min="7" max="7" width="12.88671875" customWidth="1"/>
    <col min="8" max="8" width="4.5546875" customWidth="1"/>
    <col min="9" max="17" width="9.109375" customWidth="1"/>
    <col min="18" max="16384" width="9.109375" hidden="1"/>
  </cols>
  <sheetData>
    <row r="1" spans="8:8" ht="28.95" customHeight="1" x14ac:dyDescent="0.25"/>
    <row r="2" spans="8:8" ht="11.7" customHeight="1" x14ac:dyDescent="0.25"/>
    <row r="3" spans="8:8" x14ac:dyDescent="0.25"/>
    <row r="4" spans="8:8" x14ac:dyDescent="0.25"/>
    <row r="5" spans="8:8" x14ac:dyDescent="0.25"/>
    <row r="6" spans="8:8" x14ac:dyDescent="0.25"/>
    <row r="7" spans="8:8" x14ac:dyDescent="0.25"/>
    <row r="8" spans="8:8" x14ac:dyDescent="0.25"/>
    <row r="9" spans="8:8" x14ac:dyDescent="0.25"/>
    <row r="10" spans="8:8" x14ac:dyDescent="0.25"/>
    <row r="11" spans="8:8" x14ac:dyDescent="0.25"/>
    <row r="12" spans="8:8" x14ac:dyDescent="0.25">
      <c r="H12" s="7"/>
    </row>
    <row r="13" spans="8:8" x14ac:dyDescent="0.25">
      <c r="H13" s="7"/>
    </row>
    <row r="14" spans="8:8" x14ac:dyDescent="0.25"/>
    <row r="15" spans="8:8" x14ac:dyDescent="0.25"/>
    <row r="16" spans="8:8" x14ac:dyDescent="0.25"/>
    <row r="17" spans="1:7" x14ac:dyDescent="0.25"/>
    <row r="18" spans="1:7" x14ac:dyDescent="0.25"/>
    <row r="19" spans="1:7" ht="13.8" thickBot="1" x14ac:dyDescent="0.3">
      <c r="B19" s="37" t="s">
        <v>74</v>
      </c>
      <c r="C19" s="38"/>
      <c r="D19" s="38"/>
      <c r="E19" s="38"/>
      <c r="F19" s="38"/>
      <c r="G19" s="38"/>
    </row>
    <row r="20" spans="1:7" x14ac:dyDescent="0.25">
      <c r="A20" s="39"/>
      <c r="B20" s="40"/>
      <c r="C20" s="40"/>
      <c r="D20" s="40"/>
      <c r="E20" s="40"/>
      <c r="F20" s="40"/>
      <c r="G20" s="40"/>
    </row>
    <row r="21" spans="1:7" x14ac:dyDescent="0.25">
      <c r="A21" s="40"/>
      <c r="B21" s="40"/>
      <c r="C21" s="40"/>
      <c r="D21" s="40"/>
      <c r="E21" s="40"/>
      <c r="F21" s="40"/>
      <c r="G21" s="40"/>
    </row>
    <row r="22" spans="1:7" x14ac:dyDescent="0.25">
      <c r="A22" s="40"/>
      <c r="B22" s="40"/>
      <c r="C22" s="40"/>
      <c r="D22" s="40"/>
      <c r="E22" s="40"/>
      <c r="F22" s="40"/>
      <c r="G22" s="40"/>
    </row>
    <row r="23" spans="1:7" x14ac:dyDescent="0.25">
      <c r="A23" s="40"/>
      <c r="B23" s="40"/>
      <c r="C23" s="40"/>
      <c r="D23" s="40"/>
      <c r="E23" s="40"/>
      <c r="F23" s="40"/>
      <c r="G23" s="40"/>
    </row>
    <row r="24" spans="1:7" x14ac:dyDescent="0.25">
      <c r="A24" s="40"/>
      <c r="B24" s="40"/>
      <c r="C24" s="40"/>
      <c r="D24" s="40"/>
      <c r="E24" s="40"/>
      <c r="F24" s="40"/>
      <c r="G24" s="40"/>
    </row>
    <row r="25" spans="1:7" x14ac:dyDescent="0.25">
      <c r="A25" s="40"/>
      <c r="B25" s="40"/>
      <c r="C25" s="40"/>
      <c r="D25" s="40"/>
      <c r="E25" s="40"/>
      <c r="F25" s="40"/>
      <c r="G25" s="40"/>
    </row>
    <row r="26" spans="1:7" x14ac:dyDescent="0.25">
      <c r="A26" s="40"/>
      <c r="B26" s="40"/>
      <c r="C26" s="40"/>
      <c r="D26" s="40"/>
      <c r="E26" s="40"/>
      <c r="F26" s="40"/>
      <c r="G26" s="40"/>
    </row>
    <row r="27" spans="1:7" x14ac:dyDescent="0.25">
      <c r="A27" s="40"/>
      <c r="B27" s="40"/>
      <c r="C27" s="40"/>
      <c r="D27" s="40"/>
      <c r="E27" s="40"/>
      <c r="F27" s="40"/>
      <c r="G27" s="40"/>
    </row>
    <row r="28" spans="1:7" x14ac:dyDescent="0.25">
      <c r="A28" s="40"/>
      <c r="B28" s="40"/>
      <c r="C28" s="40"/>
      <c r="D28" s="40"/>
      <c r="E28" s="40"/>
      <c r="F28" s="40"/>
      <c r="G28" s="40"/>
    </row>
    <row r="29" spans="1:7" x14ac:dyDescent="0.25">
      <c r="A29" s="40"/>
      <c r="B29" s="40"/>
      <c r="C29" s="40"/>
      <c r="D29" s="40"/>
      <c r="E29" s="40"/>
      <c r="F29" s="40"/>
      <c r="G29" s="40"/>
    </row>
    <row r="30" spans="1:7" x14ac:dyDescent="0.25">
      <c r="A30" s="40"/>
      <c r="B30" s="40"/>
      <c r="C30" s="40"/>
      <c r="D30" s="40"/>
      <c r="E30" s="40"/>
      <c r="F30" s="40"/>
      <c r="G30" s="40"/>
    </row>
    <row r="31" spans="1:7" x14ac:dyDescent="0.25">
      <c r="A31" s="40"/>
      <c r="B31" s="40"/>
      <c r="C31" s="40"/>
      <c r="D31" s="40"/>
      <c r="E31" s="40"/>
      <c r="F31" s="40"/>
      <c r="G31" s="40"/>
    </row>
    <row r="32" spans="1:7" x14ac:dyDescent="0.25">
      <c r="A32" s="40"/>
      <c r="B32" s="40"/>
      <c r="C32" s="40"/>
      <c r="D32" s="40"/>
      <c r="E32" s="40"/>
      <c r="F32" s="40"/>
      <c r="G32" s="40"/>
    </row>
    <row r="33" spans="1:7" x14ac:dyDescent="0.25">
      <c r="A33" s="40"/>
      <c r="B33" s="42"/>
      <c r="C33" s="42"/>
      <c r="D33" s="42"/>
      <c r="E33" s="42"/>
      <c r="F33" s="42"/>
      <c r="G33" s="42"/>
    </row>
    <row r="34" spans="1:7" x14ac:dyDescent="0.25">
      <c r="A34" s="40"/>
      <c r="B34" s="40"/>
      <c r="C34" s="40"/>
      <c r="D34" s="40"/>
      <c r="E34" s="40"/>
      <c r="F34" s="40"/>
      <c r="G34" s="40"/>
    </row>
    <row r="35" spans="1:7" hidden="1" x14ac:dyDescent="0.25">
      <c r="A35" s="40"/>
      <c r="B35" s="40"/>
      <c r="C35" s="40"/>
      <c r="D35" s="40"/>
      <c r="E35" s="40"/>
      <c r="F35" s="40"/>
      <c r="G35" s="40"/>
    </row>
    <row r="36" spans="1:7" hidden="1" x14ac:dyDescent="0.25">
      <c r="A36" s="40"/>
      <c r="B36" s="40"/>
      <c r="C36" s="40"/>
      <c r="D36" s="40"/>
      <c r="E36" s="40"/>
      <c r="F36" s="40"/>
      <c r="G36" s="40"/>
    </row>
    <row r="37" spans="1:7" hidden="1" x14ac:dyDescent="0.25">
      <c r="A37" s="40"/>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1032" r:id="rId4" name="AxRegion">
          <controlPr defaultSize="0" autoLine="0" listFillRange="MRegion" r:id="rId5">
            <anchor moveWithCells="1">
              <from>
                <xdr:col>5</xdr:col>
                <xdr:colOff>114300</xdr:colOff>
                <xdr:row>13</xdr:row>
                <xdr:rowOff>121920</xdr:rowOff>
              </from>
              <to>
                <xdr:col>6</xdr:col>
                <xdr:colOff>434340</xdr:colOff>
                <xdr:row>15</xdr:row>
                <xdr:rowOff>7620</xdr:rowOff>
              </to>
            </anchor>
          </controlPr>
        </control>
      </mc:Choice>
      <mc:Fallback>
        <control shapeId="1032" r:id="rId4" name="AxRegion"/>
      </mc:Fallback>
    </mc:AlternateContent>
    <mc:AlternateContent xmlns:mc="http://schemas.openxmlformats.org/markup-compatibility/2006">
      <mc:Choice Requires="x14">
        <control shapeId="1025" r:id="rId6" name="Button 1">
          <controlPr defaultSize="0" autoFill="0" autoPict="0" macro="[0]!Import_Sales">
            <anchor moveWithCells="1">
              <from>
                <xdr:col>1</xdr:col>
                <xdr:colOff>434340</xdr:colOff>
                <xdr:row>11</xdr:row>
                <xdr:rowOff>99060</xdr:rowOff>
              </from>
              <to>
                <xdr:col>3</xdr:col>
                <xdr:colOff>45720</xdr:colOff>
                <xdr:row>14</xdr:row>
                <xdr:rowOff>0</xdr:rowOff>
              </to>
            </anchor>
          </controlPr>
        </control>
      </mc:Choice>
    </mc:AlternateContent>
    <mc:AlternateContent xmlns:mc="http://schemas.openxmlformats.org/markup-compatibility/2006">
      <mc:Choice Requires="x14">
        <control shapeId="1026" r:id="rId7" name="Button 2">
          <controlPr defaultSize="0" autoFill="0" autoPict="0" macro="[0]!Create_Reports">
            <anchor moveWithCells="1">
              <from>
                <xdr:col>4</xdr:col>
                <xdr:colOff>304800</xdr:colOff>
                <xdr:row>11</xdr:row>
                <xdr:rowOff>7620</xdr:rowOff>
              </from>
              <to>
                <xdr:col>6</xdr:col>
                <xdr:colOff>601980</xdr:colOff>
                <xdr:row>13</xdr:row>
                <xdr:rowOff>60960</xdr:rowOff>
              </to>
            </anchor>
          </controlPr>
        </control>
      </mc:Choice>
    </mc:AlternateContent>
    <mc:AlternateContent xmlns:mc="http://schemas.openxmlformats.org/markup-compatibility/2006">
      <mc:Choice Requires="x14">
        <control shapeId="1029" r:id="rId8" name="Button 5">
          <controlPr defaultSize="0" autoFill="0" autoPict="0" macro="[0]!Create_CSV">
            <anchor moveWithCells="1">
              <from>
                <xdr:col>9</xdr:col>
                <xdr:colOff>68580</xdr:colOff>
                <xdr:row>11</xdr:row>
                <xdr:rowOff>99060</xdr:rowOff>
              </from>
              <to>
                <xdr:col>10</xdr:col>
                <xdr:colOff>601980</xdr:colOff>
                <xdr:row>13</xdr:row>
                <xdr:rowOff>167640</xdr:rowOff>
              </to>
            </anchor>
          </controlPr>
        </control>
      </mc:Choice>
    </mc:AlternateContent>
    <mc:AlternateContent xmlns:mc="http://schemas.openxmlformats.org/markup-compatibility/2006">
      <mc:Choice Requires="x14">
        <control shapeId="1031" r:id="rId9" name="Button 7">
          <controlPr defaultSize="0" autoFill="0" autoPict="0" macro="[0]!Clear_OldMonth">
            <anchor moveWithCells="1">
              <from>
                <xdr:col>12</xdr:col>
                <xdr:colOff>480060</xdr:colOff>
                <xdr:row>15</xdr:row>
                <xdr:rowOff>144780</xdr:rowOff>
              </from>
              <to>
                <xdr:col>15</xdr:col>
                <xdr:colOff>99060</xdr:colOff>
                <xdr:row>18</xdr:row>
                <xdr:rowOff>152400</xdr:rowOff>
              </to>
            </anchor>
          </controlPr>
        </control>
      </mc:Choice>
    </mc:AlternateContent>
    <mc:AlternateContent xmlns:mc="http://schemas.openxmlformats.org/markup-compatibility/2006">
      <mc:Choice Requires="x14">
        <control shapeId="1033" r:id="rId10" name="Button 9">
          <controlPr defaultSize="0" autoFill="0" autoPict="0" macro="[0]!Admin_Tasks">
            <anchor moveWithCells="1" sizeWithCells="1">
              <from>
                <xdr:col>12</xdr:col>
                <xdr:colOff>495300</xdr:colOff>
                <xdr:row>11</xdr:row>
                <xdr:rowOff>160020</xdr:rowOff>
              </from>
              <to>
                <xdr:col>15</xdr:col>
                <xdr:colOff>99060</xdr:colOff>
                <xdr:row>14</xdr:row>
                <xdr:rowOff>91440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All"/>
  <dimension ref="A1:H1"/>
  <sheetViews>
    <sheetView tabSelected="1" workbookViewId="0">
      <selection activeCell="H100" sqref="H100:H141"/>
    </sheetView>
  </sheetViews>
  <sheetFormatPr defaultColWidth="9.109375" defaultRowHeight="13.2" x14ac:dyDescent="0.25"/>
  <cols>
    <col min="1" max="1" width="13.5546875" style="8" customWidth="1"/>
    <col min="2" max="8" width="16" style="8" customWidth="1"/>
    <col min="9" max="16384" width="9.109375" style="8"/>
  </cols>
  <sheetData>
    <row r="1" spans="1:8" s="11" customFormat="1" x14ac:dyDescent="0.25">
      <c r="A1" s="10" t="s">
        <v>40</v>
      </c>
      <c r="B1" s="10" t="s">
        <v>3</v>
      </c>
      <c r="C1" s="10" t="s">
        <v>41</v>
      </c>
      <c r="D1" s="10" t="s">
        <v>56</v>
      </c>
      <c r="E1" s="10" t="s">
        <v>59</v>
      </c>
      <c r="F1" s="10" t="s">
        <v>45</v>
      </c>
      <c r="G1" s="10" t="s">
        <v>43</v>
      </c>
      <c r="H1" s="10" t="s">
        <v>44</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Region">
    <tabColor theme="5" tint="0.59999389629810485"/>
  </sheetPr>
  <dimension ref="A1:AU78"/>
  <sheetViews>
    <sheetView showGridLines="0" topLeftCell="H1" zoomScaleNormal="100" workbookViewId="0">
      <selection activeCell="A2" sqref="A2:H78"/>
    </sheetView>
  </sheetViews>
  <sheetFormatPr defaultRowHeight="13.2" x14ac:dyDescent="0.25"/>
  <cols>
    <col min="1" max="5" width="13.88671875" customWidth="1"/>
    <col min="6" max="6" width="8.5546875" customWidth="1"/>
    <col min="7" max="13" width="13.88671875" customWidth="1"/>
    <col min="18" max="18" width="3.21875" customWidth="1"/>
    <col min="19" max="19" width="19.21875" customWidth="1"/>
    <col min="20" max="20" width="13.109375" customWidth="1"/>
    <col min="21" max="21" width="15" customWidth="1"/>
    <col min="22" max="22" width="9.88671875" customWidth="1"/>
    <col min="23" max="23" width="2.5546875" customWidth="1"/>
    <col min="24" max="24" width="29.44140625" bestFit="1" customWidth="1"/>
    <col min="25" max="25" width="21.44140625" bestFit="1" customWidth="1"/>
    <col min="26" max="26" width="9.88671875" customWidth="1"/>
    <col min="27" max="27" width="6.21875" customWidth="1"/>
    <col min="28" max="28" width="5.21875" customWidth="1"/>
    <col min="29" max="29" width="29.44140625" bestFit="1" customWidth="1"/>
    <col min="30" max="35" width="9.88671875" customWidth="1"/>
    <col min="36" max="36" width="2.5546875" customWidth="1"/>
    <col min="37" max="37" width="37.44140625" customWidth="1"/>
    <col min="38" max="38" width="22.5546875" bestFit="1" customWidth="1"/>
    <col min="39" max="39" width="15.77734375" customWidth="1"/>
  </cols>
  <sheetData>
    <row r="1" spans="1:47" ht="27.75" customHeight="1" x14ac:dyDescent="0.25">
      <c r="A1" s="13" t="s">
        <v>46</v>
      </c>
      <c r="B1" s="13" t="s">
        <v>3</v>
      </c>
      <c r="C1" s="13" t="s">
        <v>41</v>
      </c>
      <c r="D1" s="13" t="s">
        <v>55</v>
      </c>
      <c r="E1" s="13" t="s">
        <v>59</v>
      </c>
      <c r="F1" s="13" t="s">
        <v>45</v>
      </c>
      <c r="G1" s="13" t="s">
        <v>43</v>
      </c>
      <c r="H1" s="13" t="s">
        <v>49</v>
      </c>
      <c r="I1" s="14" t="s">
        <v>36</v>
      </c>
      <c r="J1" s="14" t="s">
        <v>47</v>
      </c>
      <c r="K1" s="14" t="s">
        <v>48</v>
      </c>
      <c r="L1" s="14" t="s">
        <v>4</v>
      </c>
      <c r="M1" s="14" t="s">
        <v>50</v>
      </c>
      <c r="R1" s="29"/>
      <c r="S1" s="28" t="s">
        <v>68</v>
      </c>
      <c r="T1" s="27"/>
      <c r="U1" s="36">
        <v>201810</v>
      </c>
      <c r="W1" s="29"/>
      <c r="X1" s="28" t="s">
        <v>69</v>
      </c>
      <c r="Y1" s="27"/>
      <c r="Z1" s="27"/>
      <c r="AA1" s="27"/>
      <c r="AB1" s="27"/>
      <c r="AC1" s="27"/>
      <c r="AD1" s="27"/>
      <c r="AE1" s="27"/>
      <c r="AF1" s="27"/>
      <c r="AG1" s="27"/>
      <c r="AH1" s="32"/>
      <c r="AI1" s="32"/>
      <c r="AJ1" s="35"/>
      <c r="AK1" s="28" t="s">
        <v>73</v>
      </c>
      <c r="AL1" s="28"/>
      <c r="AM1" s="27"/>
      <c r="AN1" s="27"/>
      <c r="AO1" s="27"/>
      <c r="AP1" s="27"/>
      <c r="AQ1" s="27"/>
      <c r="AR1" s="27"/>
      <c r="AS1" s="27"/>
      <c r="AT1" s="27"/>
      <c r="AU1" s="27"/>
    </row>
    <row r="2" spans="1:47" x14ac:dyDescent="0.25">
      <c r="A2" s="8" t="s">
        <v>31</v>
      </c>
      <c r="B2">
        <v>84030</v>
      </c>
      <c r="C2" s="9">
        <v>43380</v>
      </c>
      <c r="D2">
        <v>8050</v>
      </c>
      <c r="E2">
        <v>120</v>
      </c>
      <c r="F2" t="s">
        <v>2</v>
      </c>
      <c r="G2">
        <v>120</v>
      </c>
      <c r="H2">
        <v>6960</v>
      </c>
      <c r="I2" s="8" t="str">
        <f>VLOOKUP(A2,MCompany[],2,FALSE)</f>
        <v>Bere Kleid</v>
      </c>
      <c r="J2" s="12" t="str">
        <f>VLOOKUP(TableTemp[[#This Row],[Customer Code]],MCustomer[],2,FALSE)</f>
        <v>Aida GmbH</v>
      </c>
      <c r="K2" s="12" t="str">
        <f>VLOOKUP(TableTemp[[#This Row],[Article code]],MArticle[],2,FALSE)</f>
        <v>Women evening dress Cocktail red</v>
      </c>
      <c r="L2" s="12" t="str">
        <f>VLOOKUP(TableTemp[[#This Row],[Company]],MCompany[],3,FALSE)</f>
        <v>EUR</v>
      </c>
      <c r="M2" s="18">
        <f>IF(TableTemp[[#This Row],[Currency]]="EUR",ROUND(VLOOKUP(MONTH(TableTemp[[#This Row],[Document Date]]),MExchange[],2,FALSE)*TableTemp[[#This Row],[Sales Local Currency]],2),ROUND(TableTemp[[#This Row],[Sales Local Currency]],2))</f>
        <v>8177.58</v>
      </c>
    </row>
    <row r="3" spans="1:47" x14ac:dyDescent="0.25">
      <c r="A3" s="8" t="s">
        <v>31</v>
      </c>
      <c r="B3">
        <v>84030</v>
      </c>
      <c r="C3" s="9">
        <v>43380</v>
      </c>
      <c r="D3">
        <v>8050</v>
      </c>
      <c r="E3">
        <v>104</v>
      </c>
      <c r="F3">
        <v>1</v>
      </c>
      <c r="G3">
        <v>430</v>
      </c>
      <c r="H3">
        <v>5160</v>
      </c>
      <c r="I3" s="12" t="str">
        <f>VLOOKUP(A3,MCompany[],2,FALSE)</f>
        <v>Bere Kleid</v>
      </c>
      <c r="J3" s="12" t="str">
        <f>VLOOKUP(TableTemp[[#This Row],[Customer Code]],MCustomer[],2,FALSE)</f>
        <v>Aida GmbH</v>
      </c>
      <c r="K3" s="12" t="str">
        <f>VLOOKUP(TableTemp[[#This Row],[Article code]],MArticle[],2,FALSE)</f>
        <v>Women type T simple black</v>
      </c>
      <c r="L3" s="12" t="str">
        <f>VLOOKUP(TableTemp[[#This Row],[Company]],MCompany[],3,FALSE)</f>
        <v>EUR</v>
      </c>
      <c r="M3" s="18">
        <f>IF(TableTemp[[#This Row],[Currency]]="EUR",ROUND(VLOOKUP(MONTH(TableTemp[[#This Row],[Document Date]]),MExchange[],2,FALSE)*TableTemp[[#This Row],[Sales Local Currency]],2),ROUND(TableTemp[[#This Row],[Sales Local Currency]],2))</f>
        <v>6062.69</v>
      </c>
      <c r="Q3" s="33"/>
      <c r="V3" s="26"/>
      <c r="AG3" s="33"/>
      <c r="AK3" s="19" t="s">
        <v>60</v>
      </c>
      <c r="AL3" s="41" t="s">
        <v>85</v>
      </c>
      <c r="AM3" s="24" t="s">
        <v>86</v>
      </c>
    </row>
    <row r="4" spans="1:47" x14ac:dyDescent="0.25">
      <c r="A4" s="8" t="s">
        <v>31</v>
      </c>
      <c r="B4">
        <v>84030</v>
      </c>
      <c r="C4" s="9">
        <v>43380</v>
      </c>
      <c r="D4">
        <v>8050</v>
      </c>
      <c r="E4">
        <v>105</v>
      </c>
      <c r="F4" t="s">
        <v>2</v>
      </c>
      <c r="G4">
        <v>120</v>
      </c>
      <c r="H4">
        <v>1200</v>
      </c>
      <c r="I4" s="12" t="str">
        <f>VLOOKUP(A4,MCompany[],2,FALSE)</f>
        <v>Bere Kleid</v>
      </c>
      <c r="J4" s="12" t="str">
        <f>VLOOKUP(TableTemp[[#This Row],[Customer Code]],MCustomer[],2,FALSE)</f>
        <v>Aida GmbH</v>
      </c>
      <c r="K4" s="12" t="str">
        <f>VLOOKUP(TableTemp[[#This Row],[Article code]],MArticle[],2,FALSE)</f>
        <v>Women crop top black</v>
      </c>
      <c r="L4" s="12" t="str">
        <f>VLOOKUP(TableTemp[[#This Row],[Company]],MCompany[],3,FALSE)</f>
        <v>EUR</v>
      </c>
      <c r="M4" s="18">
        <f>IF(TableTemp[[#This Row],[Currency]]="EUR",ROUND(VLOOKUP(MONTH(TableTemp[[#This Row],[Document Date]]),MExchange[],2,FALSE)*TableTemp[[#This Row],[Sales Local Currency]],2),ROUND(TableTemp[[#This Row],[Sales Local Currency]],2))</f>
        <v>1409.93</v>
      </c>
      <c r="Q4" s="33"/>
      <c r="V4" s="26"/>
      <c r="AG4" s="33"/>
      <c r="AK4" s="20" t="s">
        <v>35</v>
      </c>
      <c r="AL4" s="30"/>
      <c r="AM4" s="30"/>
    </row>
    <row r="5" spans="1:47" x14ac:dyDescent="0.25">
      <c r="A5" s="8" t="s">
        <v>31</v>
      </c>
      <c r="B5">
        <v>84030</v>
      </c>
      <c r="C5" s="9">
        <v>43380</v>
      </c>
      <c r="D5">
        <v>8050</v>
      </c>
      <c r="E5">
        <v>107</v>
      </c>
      <c r="F5">
        <v>1</v>
      </c>
      <c r="G5">
        <v>690</v>
      </c>
      <c r="H5">
        <v>3450</v>
      </c>
      <c r="I5" s="12" t="str">
        <f>VLOOKUP(A5,MCompany[],2,FALSE)</f>
        <v>Bere Kleid</v>
      </c>
      <c r="J5" s="12" t="str">
        <f>VLOOKUP(TableTemp[[#This Row],[Customer Code]],MCustomer[],2,FALSE)</f>
        <v>Aida GmbH</v>
      </c>
      <c r="K5" s="12" t="str">
        <f>VLOOKUP(TableTemp[[#This Row],[Article code]],MArticle[],2,FALSE)</f>
        <v>Women basics</v>
      </c>
      <c r="L5" s="12" t="str">
        <f>VLOOKUP(TableTemp[[#This Row],[Company]],MCompany[],3,FALSE)</f>
        <v>EUR</v>
      </c>
      <c r="M5" s="18">
        <f>IF(TableTemp[[#This Row],[Currency]]="EUR",ROUND(VLOOKUP(MONTH(TableTemp[[#This Row],[Document Date]]),MExchange[],2,FALSE)*TableTemp[[#This Row],[Sales Local Currency]],2),ROUND(TableTemp[[#This Row],[Sales Local Currency]],2))</f>
        <v>4053.54</v>
      </c>
      <c r="Q5" s="33"/>
      <c r="S5" s="19" t="s">
        <v>66</v>
      </c>
      <c r="T5" s="24" t="s">
        <v>64</v>
      </c>
      <c r="U5" t="s">
        <v>42</v>
      </c>
      <c r="V5" s="26"/>
      <c r="X5" s="19" t="s">
        <v>67</v>
      </c>
      <c r="Y5" s="24" t="s">
        <v>64</v>
      </c>
      <c r="Z5" s="24" t="s">
        <v>70</v>
      </c>
      <c r="AC5" s="19" t="s">
        <v>67</v>
      </c>
      <c r="AD5" s="24" t="s">
        <v>71</v>
      </c>
      <c r="AE5" s="24" t="s">
        <v>72</v>
      </c>
      <c r="AG5" s="33"/>
      <c r="AK5" s="21" t="s">
        <v>54</v>
      </c>
      <c r="AL5" s="30"/>
      <c r="AM5" s="30"/>
    </row>
    <row r="6" spans="1:47" x14ac:dyDescent="0.25">
      <c r="A6" s="8" t="s">
        <v>31</v>
      </c>
      <c r="B6">
        <v>84031</v>
      </c>
      <c r="C6" s="9">
        <v>43381</v>
      </c>
      <c r="D6">
        <v>8040</v>
      </c>
      <c r="E6">
        <v>104</v>
      </c>
      <c r="F6" t="s">
        <v>2</v>
      </c>
      <c r="G6">
        <v>870</v>
      </c>
      <c r="H6">
        <v>10440</v>
      </c>
      <c r="I6" s="12" t="str">
        <f>VLOOKUP(A6,MCompany[],2,FALSE)</f>
        <v>Bere Kleid</v>
      </c>
      <c r="J6" s="12" t="str">
        <f>VLOOKUP(TableTemp[[#This Row],[Customer Code]],MCustomer[],2,FALSE)</f>
        <v>Werner Strauss</v>
      </c>
      <c r="K6" s="12" t="str">
        <f>VLOOKUP(TableTemp[[#This Row],[Article code]],MArticle[],2,FALSE)</f>
        <v>Women type T simple black</v>
      </c>
      <c r="L6" s="12" t="str">
        <f>VLOOKUP(TableTemp[[#This Row],[Company]],MCompany[],3,FALSE)</f>
        <v>EUR</v>
      </c>
      <c r="M6" s="18">
        <f>IF(TableTemp[[#This Row],[Currency]]="EUR",ROUND(VLOOKUP(MONTH(TableTemp[[#This Row],[Document Date]]),MExchange[],2,FALSE)*TableTemp[[#This Row],[Sales Local Currency]],2),ROUND(TableTemp[[#This Row],[Sales Local Currency]],2))</f>
        <v>12266.36</v>
      </c>
      <c r="Q6" s="33"/>
      <c r="S6" t="s">
        <v>78</v>
      </c>
      <c r="T6" s="23">
        <v>378530.11</v>
      </c>
      <c r="U6" s="25">
        <v>0.58348273131003381</v>
      </c>
      <c r="V6" s="26"/>
      <c r="X6" t="s">
        <v>14</v>
      </c>
      <c r="Y6" s="30">
        <v>159321.73000000001</v>
      </c>
      <c r="Z6" s="31">
        <v>2260</v>
      </c>
      <c r="AC6" t="s">
        <v>13</v>
      </c>
      <c r="AD6" s="17">
        <v>6</v>
      </c>
      <c r="AE6" s="34">
        <v>3.2786885245901639E-3</v>
      </c>
      <c r="AG6" s="33"/>
      <c r="AK6" s="22" t="s">
        <v>23</v>
      </c>
      <c r="AL6" s="30">
        <v>24039.25</v>
      </c>
      <c r="AM6" s="30">
        <v>330</v>
      </c>
    </row>
    <row r="7" spans="1:47" x14ac:dyDescent="0.25">
      <c r="A7" s="8" t="s">
        <v>31</v>
      </c>
      <c r="B7">
        <v>84031</v>
      </c>
      <c r="C7" s="9">
        <v>43381</v>
      </c>
      <c r="D7">
        <v>8040</v>
      </c>
      <c r="E7">
        <v>107</v>
      </c>
      <c r="F7" t="s">
        <v>2</v>
      </c>
      <c r="G7">
        <v>760</v>
      </c>
      <c r="H7">
        <v>3800</v>
      </c>
      <c r="I7" s="12" t="str">
        <f>VLOOKUP(A7,MCompany[],2,FALSE)</f>
        <v>Bere Kleid</v>
      </c>
      <c r="J7" s="12" t="str">
        <f>VLOOKUP(TableTemp[[#This Row],[Customer Code]],MCustomer[],2,FALSE)</f>
        <v>Werner Strauss</v>
      </c>
      <c r="K7" s="12" t="str">
        <f>VLOOKUP(TableTemp[[#This Row],[Article code]],MArticle[],2,FALSE)</f>
        <v>Women basics</v>
      </c>
      <c r="L7" s="12" t="str">
        <f>VLOOKUP(TableTemp[[#This Row],[Company]],MCompany[],3,FALSE)</f>
        <v>EUR</v>
      </c>
      <c r="M7" s="18">
        <f>IF(TableTemp[[#This Row],[Currency]]="EUR",ROUND(VLOOKUP(MONTH(TableTemp[[#This Row],[Document Date]]),MExchange[],2,FALSE)*TableTemp[[#This Row],[Sales Local Currency]],2),ROUND(TableTemp[[#This Row],[Sales Local Currency]],2))</f>
        <v>4464.7700000000004</v>
      </c>
      <c r="Q7" s="33"/>
      <c r="S7" t="s">
        <v>79</v>
      </c>
      <c r="T7" s="23">
        <v>174854.43999999997</v>
      </c>
      <c r="U7" s="25">
        <v>0.269528218595045</v>
      </c>
      <c r="V7" s="26"/>
      <c r="X7" t="s">
        <v>23</v>
      </c>
      <c r="Y7" s="30">
        <v>158804.76</v>
      </c>
      <c r="Z7" s="31">
        <v>2180</v>
      </c>
      <c r="AC7" t="s">
        <v>20</v>
      </c>
      <c r="AD7" s="17">
        <v>4</v>
      </c>
      <c r="AE7" s="34">
        <v>3.9215686274509803E-3</v>
      </c>
      <c r="AG7" s="33"/>
      <c r="AK7" s="22" t="s">
        <v>5</v>
      </c>
      <c r="AL7" s="30">
        <v>5522.21</v>
      </c>
      <c r="AM7" s="30">
        <v>470</v>
      </c>
    </row>
    <row r="8" spans="1:47" x14ac:dyDescent="0.25">
      <c r="A8" s="8" t="s">
        <v>31</v>
      </c>
      <c r="B8">
        <v>84031</v>
      </c>
      <c r="C8" s="9">
        <v>43381</v>
      </c>
      <c r="D8">
        <v>8040</v>
      </c>
      <c r="E8">
        <v>110</v>
      </c>
      <c r="F8">
        <v>2</v>
      </c>
      <c r="G8">
        <v>500</v>
      </c>
      <c r="H8">
        <v>30000</v>
      </c>
      <c r="I8" s="12" t="str">
        <f>VLOOKUP(A8,MCompany[],2,FALSE)</f>
        <v>Bere Kleid</v>
      </c>
      <c r="J8" s="12" t="str">
        <f>VLOOKUP(TableTemp[[#This Row],[Customer Code]],MCustomer[],2,FALSE)</f>
        <v>Werner Strauss</v>
      </c>
      <c r="K8" s="12" t="str">
        <f>VLOOKUP(TableTemp[[#This Row],[Article code]],MArticle[],2,FALSE)</f>
        <v>Smartphone case diamond</v>
      </c>
      <c r="L8" s="12" t="str">
        <f>VLOOKUP(TableTemp[[#This Row],[Company]],MCompany[],3,FALSE)</f>
        <v>EUR</v>
      </c>
      <c r="M8" s="18">
        <f>IF(TableTemp[[#This Row],[Currency]]="EUR",ROUND(VLOOKUP(MONTH(TableTemp[[#This Row],[Document Date]]),MExchange[],2,FALSE)*TableTemp[[#This Row],[Sales Local Currency]],2),ROUND(TableTemp[[#This Row],[Sales Local Currency]],2))</f>
        <v>35248.17</v>
      </c>
      <c r="Q8" s="33"/>
      <c r="S8" t="s">
        <v>80</v>
      </c>
      <c r="T8" s="23">
        <v>58511.98</v>
      </c>
      <c r="U8" s="25">
        <v>9.0192904085643483E-2</v>
      </c>
      <c r="V8" s="26"/>
      <c r="X8" t="s">
        <v>24</v>
      </c>
      <c r="Y8" s="30">
        <v>104945.56</v>
      </c>
      <c r="Z8" s="31">
        <v>1540</v>
      </c>
      <c r="AC8" t="s">
        <v>14</v>
      </c>
      <c r="AD8" s="17">
        <v>2</v>
      </c>
      <c r="AE8" s="34">
        <v>8.8495575221238937E-4</v>
      </c>
      <c r="AG8" s="33"/>
      <c r="AK8" s="22" t="s">
        <v>19</v>
      </c>
      <c r="AL8" s="30">
        <v>2749.36</v>
      </c>
      <c r="AM8" s="30">
        <v>390</v>
      </c>
    </row>
    <row r="9" spans="1:47" x14ac:dyDescent="0.25">
      <c r="A9" s="8" t="s">
        <v>31</v>
      </c>
      <c r="B9">
        <v>88112</v>
      </c>
      <c r="C9" s="9">
        <v>43384</v>
      </c>
      <c r="D9">
        <v>8040</v>
      </c>
      <c r="E9">
        <v>110</v>
      </c>
      <c r="G9">
        <v>480</v>
      </c>
      <c r="H9">
        <v>28800</v>
      </c>
      <c r="I9" s="12" t="str">
        <f>VLOOKUP(A9,MCompany[],2,FALSE)</f>
        <v>Bere Kleid</v>
      </c>
      <c r="J9" s="12" t="str">
        <f>VLOOKUP(TableTemp[[#This Row],[Customer Code]],MCustomer[],2,FALSE)</f>
        <v>Werner Strauss</v>
      </c>
      <c r="K9" s="12" t="str">
        <f>VLOOKUP(TableTemp[[#This Row],[Article code]],MArticle[],2,FALSE)</f>
        <v>Smartphone case diamond</v>
      </c>
      <c r="L9" s="12" t="str">
        <f>VLOOKUP(TableTemp[[#This Row],[Company]],MCompany[],3,FALSE)</f>
        <v>EUR</v>
      </c>
      <c r="M9" s="18">
        <f>IF(TableTemp[[#This Row],[Currency]]="EUR",ROUND(VLOOKUP(MONTH(TableTemp[[#This Row],[Document Date]]),MExchange[],2,FALSE)*TableTemp[[#This Row],[Sales Local Currency]],2),ROUND(TableTemp[[#This Row],[Sales Local Currency]],2))</f>
        <v>33838.239999999998</v>
      </c>
      <c r="Q9" s="33"/>
      <c r="S9" t="s">
        <v>54</v>
      </c>
      <c r="T9" s="23">
        <v>36846.080000000002</v>
      </c>
      <c r="U9" s="25">
        <v>5.6796146009277869E-2</v>
      </c>
      <c r="V9" s="26"/>
      <c r="X9" t="s">
        <v>13</v>
      </c>
      <c r="Y9" s="30">
        <v>60203.890000000007</v>
      </c>
      <c r="Z9" s="31">
        <v>1830</v>
      </c>
      <c r="AC9" t="s">
        <v>5</v>
      </c>
      <c r="AD9" s="17">
        <v>1</v>
      </c>
      <c r="AE9" s="34">
        <v>1.3888888888888889E-3</v>
      </c>
      <c r="AG9" s="33"/>
      <c r="AK9" s="22" t="s">
        <v>11</v>
      </c>
      <c r="AL9" s="30">
        <v>2702.36</v>
      </c>
      <c r="AM9" s="30">
        <v>460</v>
      </c>
    </row>
    <row r="10" spans="1:47" x14ac:dyDescent="0.25">
      <c r="A10" s="8" t="s">
        <v>31</v>
      </c>
      <c r="B10">
        <v>88112</v>
      </c>
      <c r="C10" s="9">
        <v>43384</v>
      </c>
      <c r="D10">
        <v>8040</v>
      </c>
      <c r="E10">
        <v>119</v>
      </c>
      <c r="F10" t="s">
        <v>2</v>
      </c>
      <c r="G10">
        <v>630</v>
      </c>
      <c r="H10">
        <v>39060</v>
      </c>
      <c r="I10" s="12" t="str">
        <f>VLOOKUP(A10,MCompany[],2,FALSE)</f>
        <v>Bere Kleid</v>
      </c>
      <c r="J10" s="12" t="str">
        <f>VLOOKUP(TableTemp[[#This Row],[Customer Code]],MCustomer[],2,FALSE)</f>
        <v>Werner Strauss</v>
      </c>
      <c r="K10" s="12" t="str">
        <f>VLOOKUP(TableTemp[[#This Row],[Article code]],MArticle[],2,FALSE)</f>
        <v>Women evening dress long black</v>
      </c>
      <c r="L10" s="12" t="str">
        <f>VLOOKUP(TableTemp[[#This Row],[Company]],MCompany[],3,FALSE)</f>
        <v>EUR</v>
      </c>
      <c r="M10" s="18">
        <f>IF(TableTemp[[#This Row],[Currency]]="EUR",ROUND(VLOOKUP(MONTH(TableTemp[[#This Row],[Document Date]]),MExchange[],2,FALSE)*TableTemp[[#This Row],[Sales Local Currency]],2),ROUND(TableTemp[[#This Row],[Sales Local Currency]],2))</f>
        <v>45893.120000000003</v>
      </c>
      <c r="Q10" s="33"/>
      <c r="S10" t="s">
        <v>65</v>
      </c>
      <c r="T10" s="23">
        <v>648742.60999999987</v>
      </c>
      <c r="U10" s="25">
        <v>1</v>
      </c>
      <c r="V10" s="26"/>
      <c r="X10" t="s">
        <v>12</v>
      </c>
      <c r="Y10" s="30">
        <v>50992.350000000006</v>
      </c>
      <c r="Z10" s="31">
        <v>1550</v>
      </c>
      <c r="AC10" t="s">
        <v>23</v>
      </c>
      <c r="AD10" s="17">
        <v>1</v>
      </c>
      <c r="AE10" s="34">
        <v>4.5871559633027525E-4</v>
      </c>
      <c r="AG10" s="33"/>
      <c r="AK10" s="22" t="s">
        <v>20</v>
      </c>
      <c r="AL10" s="30">
        <v>1832.9</v>
      </c>
      <c r="AM10" s="30">
        <v>260</v>
      </c>
    </row>
    <row r="11" spans="1:47" x14ac:dyDescent="0.25">
      <c r="A11" s="8" t="s">
        <v>31</v>
      </c>
      <c r="B11">
        <v>88112</v>
      </c>
      <c r="C11" s="9">
        <v>43384</v>
      </c>
      <c r="D11">
        <v>8040</v>
      </c>
      <c r="E11">
        <v>120</v>
      </c>
      <c r="G11">
        <v>150</v>
      </c>
      <c r="H11">
        <v>8700</v>
      </c>
      <c r="I11" s="12" t="str">
        <f>VLOOKUP(A11,MCompany[],2,FALSE)</f>
        <v>Bere Kleid</v>
      </c>
      <c r="J11" s="12" t="str">
        <f>VLOOKUP(TableTemp[[#This Row],[Customer Code]],MCustomer[],2,FALSE)</f>
        <v>Werner Strauss</v>
      </c>
      <c r="K11" s="12" t="str">
        <f>VLOOKUP(TableTemp[[#This Row],[Article code]],MArticle[],2,FALSE)</f>
        <v>Women evening dress Cocktail red</v>
      </c>
      <c r="L11" s="12" t="str">
        <f>VLOOKUP(TableTemp[[#This Row],[Company]],MCompany[],3,FALSE)</f>
        <v>EUR</v>
      </c>
      <c r="M11" s="18">
        <f>IF(TableTemp[[#This Row],[Currency]]="EUR",ROUND(VLOOKUP(MONTH(TableTemp[[#This Row],[Document Date]]),MExchange[],2,FALSE)*TableTemp[[#This Row],[Sales Local Currency]],2),ROUND(TableTemp[[#This Row],[Sales Local Currency]],2))</f>
        <v>10221.969999999999</v>
      </c>
      <c r="Q11" s="33"/>
      <c r="V11" s="26"/>
      <c r="X11" t="s">
        <v>15</v>
      </c>
      <c r="Y11" s="30">
        <v>38068.030000000006</v>
      </c>
      <c r="Z11" s="31">
        <v>1620</v>
      </c>
      <c r="AC11" t="s">
        <v>11</v>
      </c>
      <c r="AD11" s="17">
        <v>1</v>
      </c>
      <c r="AE11" s="34">
        <v>3.3898305084745765E-4</v>
      </c>
      <c r="AG11" s="33"/>
      <c r="AK11" s="21" t="s">
        <v>76</v>
      </c>
      <c r="AL11" s="30">
        <v>36846.080000000002</v>
      </c>
      <c r="AM11" s="30">
        <v>1910</v>
      </c>
    </row>
    <row r="12" spans="1:47" x14ac:dyDescent="0.25">
      <c r="A12" s="8" t="s">
        <v>31</v>
      </c>
      <c r="B12">
        <v>88112</v>
      </c>
      <c r="C12" s="9">
        <v>43384</v>
      </c>
      <c r="D12">
        <v>8040</v>
      </c>
      <c r="E12">
        <v>116</v>
      </c>
      <c r="F12">
        <v>4</v>
      </c>
      <c r="G12">
        <v>760</v>
      </c>
      <c r="H12">
        <v>4560</v>
      </c>
      <c r="I12" s="12" t="str">
        <f>VLOOKUP(A12,MCompany[],2,FALSE)</f>
        <v>Bere Kleid</v>
      </c>
      <c r="J12" s="12" t="str">
        <f>VLOOKUP(TableTemp[[#This Row],[Customer Code]],MCustomer[],2,FALSE)</f>
        <v>Werner Strauss</v>
      </c>
      <c r="K12" s="12" t="str">
        <f>VLOOKUP(TableTemp[[#This Row],[Article code]],MArticle[],2,FALSE)</f>
        <v>Unisex tank top white</v>
      </c>
      <c r="L12" s="12" t="str">
        <f>VLOOKUP(TableTemp[[#This Row],[Company]],MCompany[],3,FALSE)</f>
        <v>EUR</v>
      </c>
      <c r="M12" s="18">
        <f>IF(TableTemp[[#This Row],[Currency]]="EUR",ROUND(VLOOKUP(MONTH(TableTemp[[#This Row],[Document Date]]),MExchange[],2,FALSE)*TableTemp[[#This Row],[Sales Local Currency]],2),ROUND(TableTemp[[#This Row],[Sales Local Currency]],2))</f>
        <v>5357.72</v>
      </c>
      <c r="Q12" s="33"/>
      <c r="V12" s="26"/>
      <c r="X12" t="s">
        <v>10</v>
      </c>
      <c r="Y12" s="30">
        <v>24532.73</v>
      </c>
      <c r="Z12" s="31">
        <v>1740</v>
      </c>
      <c r="AC12" t="s">
        <v>10</v>
      </c>
      <c r="AD12" s="17">
        <v>1</v>
      </c>
      <c r="AE12" s="34">
        <v>5.7471264367816091E-4</v>
      </c>
      <c r="AG12" s="33"/>
      <c r="AK12" s="21" t="s">
        <v>79</v>
      </c>
      <c r="AL12" s="30"/>
      <c r="AM12" s="30"/>
    </row>
    <row r="13" spans="1:47" x14ac:dyDescent="0.25">
      <c r="A13" s="8" t="s">
        <v>31</v>
      </c>
      <c r="B13">
        <v>88112</v>
      </c>
      <c r="C13" s="9">
        <v>43384</v>
      </c>
      <c r="D13">
        <v>8040</v>
      </c>
      <c r="E13">
        <v>111</v>
      </c>
      <c r="G13">
        <v>590</v>
      </c>
      <c r="H13">
        <v>11800</v>
      </c>
      <c r="I13" s="12" t="str">
        <f>VLOOKUP(A13,MCompany[],2,FALSE)</f>
        <v>Bere Kleid</v>
      </c>
      <c r="J13" s="12" t="str">
        <f>VLOOKUP(TableTemp[[#This Row],[Customer Code]],MCustomer[],2,FALSE)</f>
        <v>Werner Strauss</v>
      </c>
      <c r="K13" s="12" t="str">
        <f>VLOOKUP(TableTemp[[#This Row],[Article code]],MArticle[],2,FALSE)</f>
        <v>Smartphone case simple</v>
      </c>
      <c r="L13" s="12" t="str">
        <f>VLOOKUP(TableTemp[[#This Row],[Company]],MCompany[],3,FALSE)</f>
        <v>EUR</v>
      </c>
      <c r="M13" s="18">
        <f>IF(TableTemp[[#This Row],[Currency]]="EUR",ROUND(VLOOKUP(MONTH(TableTemp[[#This Row],[Document Date]]),MExchange[],2,FALSE)*TableTemp[[#This Row],[Sales Local Currency]],2),ROUND(TableTemp[[#This Row],[Sales Local Currency]],2))</f>
        <v>13864.28</v>
      </c>
      <c r="Q13" s="33"/>
      <c r="V13" s="26"/>
      <c r="X13" t="s">
        <v>11</v>
      </c>
      <c r="Y13" s="30">
        <v>17330.36</v>
      </c>
      <c r="Z13" s="31">
        <v>2950</v>
      </c>
      <c r="AC13" t="s">
        <v>65</v>
      </c>
      <c r="AD13" s="17">
        <v>16</v>
      </c>
      <c r="AE13" s="34">
        <v>1.2598425196850393E-3</v>
      </c>
      <c r="AG13" s="33"/>
      <c r="AK13" s="22" t="s">
        <v>24</v>
      </c>
      <c r="AL13" s="30">
        <v>42250.810000000005</v>
      </c>
      <c r="AM13" s="30">
        <v>620</v>
      </c>
    </row>
    <row r="14" spans="1:47" x14ac:dyDescent="0.25">
      <c r="A14" s="8" t="s">
        <v>31</v>
      </c>
      <c r="B14">
        <v>88112</v>
      </c>
      <c r="C14" s="9">
        <v>43384</v>
      </c>
      <c r="D14">
        <v>8040</v>
      </c>
      <c r="E14">
        <v>110</v>
      </c>
      <c r="G14">
        <v>530</v>
      </c>
      <c r="H14">
        <v>31800</v>
      </c>
      <c r="I14" s="12" t="str">
        <f>VLOOKUP(A14,MCompany[],2,FALSE)</f>
        <v>Bere Kleid</v>
      </c>
      <c r="J14" s="12" t="str">
        <f>VLOOKUP(TableTemp[[#This Row],[Customer Code]],MCustomer[],2,FALSE)</f>
        <v>Werner Strauss</v>
      </c>
      <c r="K14" s="12" t="str">
        <f>VLOOKUP(TableTemp[[#This Row],[Article code]],MArticle[],2,FALSE)</f>
        <v>Smartphone case diamond</v>
      </c>
      <c r="L14" s="12" t="str">
        <f>VLOOKUP(TableTemp[[#This Row],[Company]],MCompany[],3,FALSE)</f>
        <v>EUR</v>
      </c>
      <c r="M14" s="18">
        <f>IF(TableTemp[[#This Row],[Currency]]="EUR",ROUND(VLOOKUP(MONTH(TableTemp[[#This Row],[Document Date]]),MExchange[],2,FALSE)*TableTemp[[#This Row],[Sales Local Currency]],2),ROUND(TableTemp[[#This Row],[Sales Local Currency]],2))</f>
        <v>37363.06</v>
      </c>
      <c r="Q14" s="33"/>
      <c r="V14" s="26"/>
      <c r="X14" t="s">
        <v>9</v>
      </c>
      <c r="Y14" s="30">
        <v>10433.460000000001</v>
      </c>
      <c r="Z14" s="31">
        <v>740</v>
      </c>
      <c r="AG14" s="33"/>
      <c r="AK14" s="22" t="s">
        <v>12</v>
      </c>
      <c r="AL14" s="30">
        <v>26318.63</v>
      </c>
      <c r="AM14" s="30">
        <v>800</v>
      </c>
    </row>
    <row r="15" spans="1:47" x14ac:dyDescent="0.25">
      <c r="A15" s="8" t="s">
        <v>31</v>
      </c>
      <c r="B15">
        <v>88112</v>
      </c>
      <c r="C15" s="9">
        <v>43384</v>
      </c>
      <c r="D15">
        <v>8040</v>
      </c>
      <c r="E15">
        <v>109</v>
      </c>
      <c r="G15">
        <v>260</v>
      </c>
      <c r="H15">
        <v>7280</v>
      </c>
      <c r="I15" s="12" t="str">
        <f>VLOOKUP(A15,MCompany[],2,FALSE)</f>
        <v>Bere Kleid</v>
      </c>
      <c r="J15" s="12" t="str">
        <f>VLOOKUP(TableTemp[[#This Row],[Customer Code]],MCustomer[],2,FALSE)</f>
        <v>Werner Strauss</v>
      </c>
      <c r="K15" s="12" t="str">
        <f>VLOOKUP(TableTemp[[#This Row],[Article code]],MArticle[],2,FALSE)</f>
        <v>Laptop bag red</v>
      </c>
      <c r="L15" s="12" t="str">
        <f>VLOOKUP(TableTemp[[#This Row],[Company]],MCompany[],3,FALSE)</f>
        <v>EUR</v>
      </c>
      <c r="M15" s="18">
        <f>IF(TableTemp[[#This Row],[Currency]]="EUR",ROUND(VLOOKUP(MONTH(TableTemp[[#This Row],[Document Date]]),MExchange[],2,FALSE)*TableTemp[[#This Row],[Sales Local Currency]],2),ROUND(TableTemp[[#This Row],[Sales Local Currency]],2))</f>
        <v>8553.56</v>
      </c>
      <c r="Q15" s="33"/>
      <c r="V15" s="26"/>
      <c r="X15" t="s">
        <v>5</v>
      </c>
      <c r="Y15" s="30">
        <v>8459.5600000000013</v>
      </c>
      <c r="Z15" s="31">
        <v>720</v>
      </c>
      <c r="AG15" s="33"/>
      <c r="AK15" s="22" t="s">
        <v>23</v>
      </c>
      <c r="AL15" s="30">
        <v>26224.639999999999</v>
      </c>
      <c r="AM15" s="30">
        <v>360</v>
      </c>
    </row>
    <row r="16" spans="1:47" x14ac:dyDescent="0.25">
      <c r="A16" s="8" t="s">
        <v>31</v>
      </c>
      <c r="B16">
        <v>85442</v>
      </c>
      <c r="C16" s="9">
        <v>43388</v>
      </c>
      <c r="D16">
        <v>8050</v>
      </c>
      <c r="E16">
        <v>107</v>
      </c>
      <c r="G16">
        <v>270</v>
      </c>
      <c r="H16">
        <v>1350</v>
      </c>
      <c r="I16" s="12" t="str">
        <f>VLOOKUP(A16,MCompany[],2,FALSE)</f>
        <v>Bere Kleid</v>
      </c>
      <c r="J16" s="12" t="str">
        <f>VLOOKUP(TableTemp[[#This Row],[Customer Code]],MCustomer[],2,FALSE)</f>
        <v>Aida GmbH</v>
      </c>
      <c r="K16" s="12" t="str">
        <f>VLOOKUP(TableTemp[[#This Row],[Article code]],MArticle[],2,FALSE)</f>
        <v>Women basics</v>
      </c>
      <c r="L16" s="12" t="str">
        <f>VLOOKUP(TableTemp[[#This Row],[Company]],MCompany[],3,FALSE)</f>
        <v>EUR</v>
      </c>
      <c r="M16" s="18">
        <f>IF(TableTemp[[#This Row],[Currency]]="EUR",ROUND(VLOOKUP(MONTH(TableTemp[[#This Row],[Document Date]]),MExchange[],2,FALSE)*TableTemp[[#This Row],[Sales Local Currency]],2),ROUND(TableTemp[[#This Row],[Sales Local Currency]],2))</f>
        <v>1586.17</v>
      </c>
      <c r="Q16" s="33"/>
      <c r="V16" s="26"/>
      <c r="X16" t="s">
        <v>19</v>
      </c>
      <c r="Y16" s="30">
        <v>8459.56</v>
      </c>
      <c r="Z16" s="31">
        <v>1200</v>
      </c>
      <c r="AG16" s="33"/>
      <c r="AK16" s="22" t="s">
        <v>10</v>
      </c>
      <c r="AL16" s="30">
        <v>12266.369999999999</v>
      </c>
      <c r="AM16" s="30">
        <v>870</v>
      </c>
    </row>
    <row r="17" spans="1:39" x14ac:dyDescent="0.25">
      <c r="A17" s="8" t="s">
        <v>31</v>
      </c>
      <c r="B17">
        <v>85442</v>
      </c>
      <c r="C17" s="9">
        <v>43388</v>
      </c>
      <c r="D17">
        <v>8050</v>
      </c>
      <c r="E17">
        <v>103</v>
      </c>
      <c r="G17">
        <v>630</v>
      </c>
      <c r="H17">
        <v>7560</v>
      </c>
      <c r="I17" s="12" t="str">
        <f>VLOOKUP(A17,MCompany[],2,FALSE)</f>
        <v>Bere Kleid</v>
      </c>
      <c r="J17" s="12" t="str">
        <f>VLOOKUP(TableTemp[[#This Row],[Customer Code]],MCustomer[],2,FALSE)</f>
        <v>Aida GmbH</v>
      </c>
      <c r="K17" s="12" t="str">
        <f>VLOOKUP(TableTemp[[#This Row],[Article code]],MArticle[],2,FALSE)</f>
        <v>Women type T simple white</v>
      </c>
      <c r="L17" s="12" t="str">
        <f>VLOOKUP(TableTemp[[#This Row],[Company]],MCompany[],3,FALSE)</f>
        <v>EUR</v>
      </c>
      <c r="M17" s="18">
        <f>IF(TableTemp[[#This Row],[Currency]]="EUR",ROUND(VLOOKUP(MONTH(TableTemp[[#This Row],[Document Date]]),MExchange[],2,FALSE)*TableTemp[[#This Row],[Sales Local Currency]],2),ROUND(TableTemp[[#This Row],[Sales Local Currency]],2))</f>
        <v>8882.5400000000009</v>
      </c>
      <c r="Q17" s="33"/>
      <c r="V17" s="26"/>
      <c r="X17" t="s">
        <v>20</v>
      </c>
      <c r="Y17" s="30">
        <v>7190.6200000000008</v>
      </c>
      <c r="Z17" s="31">
        <v>1020</v>
      </c>
      <c r="AG17" s="33"/>
      <c r="AK17" s="22" t="s">
        <v>9</v>
      </c>
      <c r="AL17" s="30">
        <v>8882.5400000000009</v>
      </c>
      <c r="AM17" s="30">
        <v>630</v>
      </c>
    </row>
    <row r="18" spans="1:39" x14ac:dyDescent="0.25">
      <c r="A18" s="8" t="s">
        <v>31</v>
      </c>
      <c r="B18">
        <v>85442</v>
      </c>
      <c r="C18" s="9">
        <v>43388</v>
      </c>
      <c r="D18">
        <v>8050</v>
      </c>
      <c r="E18">
        <v>104</v>
      </c>
      <c r="G18">
        <v>440</v>
      </c>
      <c r="H18">
        <v>5280</v>
      </c>
      <c r="I18" s="12" t="str">
        <f>VLOOKUP(A18,MCompany[],2,FALSE)</f>
        <v>Bere Kleid</v>
      </c>
      <c r="J18" s="12" t="str">
        <f>VLOOKUP(TableTemp[[#This Row],[Customer Code]],MCustomer[],2,FALSE)</f>
        <v>Aida GmbH</v>
      </c>
      <c r="K18" s="12" t="str">
        <f>VLOOKUP(TableTemp[[#This Row],[Article code]],MArticle[],2,FALSE)</f>
        <v>Women type T simple black</v>
      </c>
      <c r="L18" s="12" t="str">
        <f>VLOOKUP(TableTemp[[#This Row],[Company]],MCompany[],3,FALSE)</f>
        <v>EUR</v>
      </c>
      <c r="M18" s="18">
        <f>IF(TableTemp[[#This Row],[Currency]]="EUR",ROUND(VLOOKUP(MONTH(TableTemp[[#This Row],[Document Date]]),MExchange[],2,FALSE)*TableTemp[[#This Row],[Sales Local Currency]],2),ROUND(TableTemp[[#This Row],[Sales Local Currency]],2))</f>
        <v>6203.68</v>
      </c>
      <c r="Q18" s="33"/>
      <c r="V18" s="26"/>
      <c r="X18" t="s">
        <v>65</v>
      </c>
      <c r="Y18" s="30">
        <v>648742.61</v>
      </c>
      <c r="Z18" s="31">
        <v>19350</v>
      </c>
      <c r="AG18" s="33"/>
      <c r="AK18" s="22" t="s">
        <v>19</v>
      </c>
      <c r="AL18" s="30">
        <v>5710.2</v>
      </c>
      <c r="AM18" s="30">
        <v>810</v>
      </c>
    </row>
    <row r="19" spans="1:39" x14ac:dyDescent="0.25">
      <c r="A19" s="8" t="s">
        <v>31</v>
      </c>
      <c r="B19">
        <v>85442</v>
      </c>
      <c r="C19" s="9">
        <v>43388</v>
      </c>
      <c r="D19">
        <v>8050</v>
      </c>
      <c r="E19">
        <v>120</v>
      </c>
      <c r="G19">
        <v>500</v>
      </c>
      <c r="H19">
        <v>29000</v>
      </c>
      <c r="I19" s="12" t="str">
        <f>VLOOKUP(A19,MCompany[],2,FALSE)</f>
        <v>Bere Kleid</v>
      </c>
      <c r="J19" s="12" t="str">
        <f>VLOOKUP(TableTemp[[#This Row],[Customer Code]],MCustomer[],2,FALSE)</f>
        <v>Aida GmbH</v>
      </c>
      <c r="K19" s="12" t="str">
        <f>VLOOKUP(TableTemp[[#This Row],[Article code]],MArticle[],2,FALSE)</f>
        <v>Women evening dress Cocktail red</v>
      </c>
      <c r="L19" s="12" t="str">
        <f>VLOOKUP(TableTemp[[#This Row],[Company]],MCompany[],3,FALSE)</f>
        <v>EUR</v>
      </c>
      <c r="M19" s="18">
        <f>IF(TableTemp[[#This Row],[Currency]]="EUR",ROUND(VLOOKUP(MONTH(TableTemp[[#This Row],[Document Date]]),MExchange[],2,FALSE)*TableTemp[[#This Row],[Sales Local Currency]],2),ROUND(TableTemp[[#This Row],[Sales Local Currency]],2))</f>
        <v>34073.230000000003</v>
      </c>
      <c r="Q19" s="33"/>
      <c r="V19" s="26"/>
      <c r="AG19" s="33"/>
      <c r="AK19" s="22" t="s">
        <v>11</v>
      </c>
      <c r="AL19" s="30">
        <v>5639.71</v>
      </c>
      <c r="AM19" s="30">
        <v>960</v>
      </c>
    </row>
    <row r="20" spans="1:39" x14ac:dyDescent="0.25">
      <c r="A20" s="8" t="s">
        <v>31</v>
      </c>
      <c r="B20">
        <v>85442</v>
      </c>
      <c r="C20" s="9">
        <v>43388</v>
      </c>
      <c r="D20">
        <v>8050</v>
      </c>
      <c r="E20">
        <v>119</v>
      </c>
      <c r="F20">
        <v>1</v>
      </c>
      <c r="G20">
        <v>360</v>
      </c>
      <c r="H20">
        <v>22320</v>
      </c>
      <c r="I20" s="12" t="str">
        <f>VLOOKUP(A20,MCompany[],2,FALSE)</f>
        <v>Bere Kleid</v>
      </c>
      <c r="J20" s="12" t="str">
        <f>VLOOKUP(TableTemp[[#This Row],[Customer Code]],MCustomer[],2,FALSE)</f>
        <v>Aida GmbH</v>
      </c>
      <c r="K20" s="12" t="str">
        <f>VLOOKUP(TableTemp[[#This Row],[Article code]],MArticle[],2,FALSE)</f>
        <v>Women evening dress long black</v>
      </c>
      <c r="L20" s="12" t="str">
        <f>VLOOKUP(TableTemp[[#This Row],[Company]],MCompany[],3,FALSE)</f>
        <v>EUR</v>
      </c>
      <c r="M20" s="18">
        <f>IF(TableTemp[[#This Row],[Currency]]="EUR",ROUND(VLOOKUP(MONTH(TableTemp[[#This Row],[Document Date]]),MExchange[],2,FALSE)*TableTemp[[#This Row],[Sales Local Currency]],2),ROUND(TableTemp[[#This Row],[Sales Local Currency]],2))</f>
        <v>26224.639999999999</v>
      </c>
      <c r="Q20" s="33"/>
      <c r="V20" s="26"/>
      <c r="AG20" s="33"/>
      <c r="AK20" s="22" t="s">
        <v>5</v>
      </c>
      <c r="AL20" s="30">
        <v>1409.93</v>
      </c>
      <c r="AM20" s="30">
        <v>120</v>
      </c>
    </row>
    <row r="21" spans="1:39" x14ac:dyDescent="0.25">
      <c r="A21" s="8" t="s">
        <v>31</v>
      </c>
      <c r="B21">
        <v>85442</v>
      </c>
      <c r="C21" s="9">
        <v>43388</v>
      </c>
      <c r="D21">
        <v>8050</v>
      </c>
      <c r="E21">
        <v>115</v>
      </c>
      <c r="G21">
        <v>810</v>
      </c>
      <c r="H21">
        <v>4860</v>
      </c>
      <c r="I21" s="12" t="str">
        <f>VLOOKUP(A21,MCompany[],2,FALSE)</f>
        <v>Bere Kleid</v>
      </c>
      <c r="J21" s="12" t="str">
        <f>VLOOKUP(TableTemp[[#This Row],[Customer Code]],MCustomer[],2,FALSE)</f>
        <v>Aida GmbH</v>
      </c>
      <c r="K21" s="12" t="str">
        <f>VLOOKUP(TableTemp[[#This Row],[Article code]],MArticle[],2,FALSE)</f>
        <v>Unisex tank top black</v>
      </c>
      <c r="L21" s="12" t="str">
        <f>VLOOKUP(TableTemp[[#This Row],[Company]],MCompany[],3,FALSE)</f>
        <v>EUR</v>
      </c>
      <c r="M21" s="18">
        <f>IF(TableTemp[[#This Row],[Currency]]="EUR",ROUND(VLOOKUP(MONTH(TableTemp[[#This Row],[Document Date]]),MExchange[],2,FALSE)*TableTemp[[#This Row],[Sales Local Currency]],2),ROUND(TableTemp[[#This Row],[Sales Local Currency]],2))</f>
        <v>5710.2</v>
      </c>
      <c r="Q21" s="33"/>
      <c r="V21" s="26"/>
      <c r="AG21" s="33"/>
      <c r="AK21" s="21" t="s">
        <v>81</v>
      </c>
      <c r="AL21" s="30">
        <v>128702.82999999999</v>
      </c>
      <c r="AM21" s="30">
        <v>5170</v>
      </c>
    </row>
    <row r="22" spans="1:39" x14ac:dyDescent="0.25">
      <c r="A22" s="8" t="s">
        <v>31</v>
      </c>
      <c r="B22">
        <v>85442</v>
      </c>
      <c r="C22" s="9">
        <v>43388</v>
      </c>
      <c r="D22">
        <v>8050</v>
      </c>
      <c r="E22">
        <v>108</v>
      </c>
      <c r="G22">
        <v>800</v>
      </c>
      <c r="H22">
        <v>22400</v>
      </c>
      <c r="I22" s="12" t="str">
        <f>VLOOKUP(A22,MCompany[],2,FALSE)</f>
        <v>Bere Kleid</v>
      </c>
      <c r="J22" s="12" t="str">
        <f>VLOOKUP(TableTemp[[#This Row],[Customer Code]],MCustomer[],2,FALSE)</f>
        <v>Aida GmbH</v>
      </c>
      <c r="K22" s="12" t="str">
        <f>VLOOKUP(TableTemp[[#This Row],[Article code]],MArticle[],2,FALSE)</f>
        <v>Laptop bag black</v>
      </c>
      <c r="L22" s="12" t="str">
        <f>VLOOKUP(TableTemp[[#This Row],[Company]],MCompany[],3,FALSE)</f>
        <v>EUR</v>
      </c>
      <c r="M22" s="18">
        <f>IF(TableTemp[[#This Row],[Currency]]="EUR",ROUND(VLOOKUP(MONTH(TableTemp[[#This Row],[Document Date]]),MExchange[],2,FALSE)*TableTemp[[#This Row],[Sales Local Currency]],2),ROUND(TableTemp[[#This Row],[Sales Local Currency]],2))</f>
        <v>26318.63</v>
      </c>
      <c r="Q22" s="33"/>
      <c r="V22" s="26"/>
      <c r="AG22" s="33"/>
      <c r="AK22" s="21" t="s">
        <v>78</v>
      </c>
      <c r="AL22" s="30"/>
      <c r="AM22" s="30"/>
    </row>
    <row r="23" spans="1:39" x14ac:dyDescent="0.25">
      <c r="A23" s="8" t="s">
        <v>31</v>
      </c>
      <c r="B23">
        <v>88588</v>
      </c>
      <c r="C23" s="9">
        <v>43388</v>
      </c>
      <c r="D23">
        <v>8040</v>
      </c>
      <c r="E23">
        <v>120</v>
      </c>
      <c r="G23">
        <v>470</v>
      </c>
      <c r="H23">
        <v>27260</v>
      </c>
      <c r="I23" s="12" t="str">
        <f>VLOOKUP(A23,MCompany[],2,FALSE)</f>
        <v>Bere Kleid</v>
      </c>
      <c r="J23" s="12" t="str">
        <f>VLOOKUP(TableTemp[[#This Row],[Customer Code]],MCustomer[],2,FALSE)</f>
        <v>Werner Strauss</v>
      </c>
      <c r="K23" s="12" t="str">
        <f>VLOOKUP(TableTemp[[#This Row],[Article code]],MArticle[],2,FALSE)</f>
        <v>Women evening dress Cocktail red</v>
      </c>
      <c r="L23" s="12" t="str">
        <f>VLOOKUP(TableTemp[[#This Row],[Company]],MCompany[],3,FALSE)</f>
        <v>EUR</v>
      </c>
      <c r="M23" s="18">
        <f>IF(TableTemp[[#This Row],[Currency]]="EUR",ROUND(VLOOKUP(MONTH(TableTemp[[#This Row],[Document Date]]),MExchange[],2,FALSE)*TableTemp[[#This Row],[Sales Local Currency]],2),ROUND(TableTemp[[#This Row],[Sales Local Currency]],2))</f>
        <v>32028.84</v>
      </c>
      <c r="Q23" s="33"/>
      <c r="V23" s="26"/>
      <c r="AG23" s="33"/>
      <c r="AK23" s="22" t="s">
        <v>14</v>
      </c>
      <c r="AL23" s="30">
        <v>119138.81</v>
      </c>
      <c r="AM23" s="30">
        <v>1690</v>
      </c>
    </row>
    <row r="24" spans="1:39" x14ac:dyDescent="0.25">
      <c r="A24" s="8" t="s">
        <v>31</v>
      </c>
      <c r="B24">
        <v>88588</v>
      </c>
      <c r="C24" s="9">
        <v>43388</v>
      </c>
      <c r="D24">
        <v>8040</v>
      </c>
      <c r="E24">
        <v>119</v>
      </c>
      <c r="G24">
        <v>860</v>
      </c>
      <c r="H24">
        <v>53320</v>
      </c>
      <c r="I24" s="12" t="str">
        <f>VLOOKUP(A24,MCompany[],2,FALSE)</f>
        <v>Bere Kleid</v>
      </c>
      <c r="J24" s="12" t="str">
        <f>VLOOKUP(TableTemp[[#This Row],[Customer Code]],MCustomer[],2,FALSE)</f>
        <v>Werner Strauss</v>
      </c>
      <c r="K24" s="12" t="str">
        <f>VLOOKUP(TableTemp[[#This Row],[Article code]],MArticle[],2,FALSE)</f>
        <v>Women evening dress long black</v>
      </c>
      <c r="L24" s="12" t="str">
        <f>VLOOKUP(TableTemp[[#This Row],[Company]],MCompany[],3,FALSE)</f>
        <v>EUR</v>
      </c>
      <c r="M24" s="18">
        <f>IF(TableTemp[[#This Row],[Currency]]="EUR",ROUND(VLOOKUP(MONTH(TableTemp[[#This Row],[Document Date]]),MExchange[],2,FALSE)*TableTemp[[#This Row],[Sales Local Currency]],2),ROUND(TableTemp[[#This Row],[Sales Local Currency]],2))</f>
        <v>62647.75</v>
      </c>
      <c r="Q24" s="33"/>
      <c r="V24" s="26"/>
      <c r="AG24" s="33"/>
      <c r="AK24" s="22" t="s">
        <v>23</v>
      </c>
      <c r="AL24" s="30">
        <v>108540.87</v>
      </c>
      <c r="AM24" s="30">
        <v>1490</v>
      </c>
    </row>
    <row r="25" spans="1:39" x14ac:dyDescent="0.25">
      <c r="A25" s="8" t="s">
        <v>31</v>
      </c>
      <c r="B25">
        <v>88588</v>
      </c>
      <c r="C25" s="9">
        <v>43388</v>
      </c>
      <c r="D25">
        <v>8040</v>
      </c>
      <c r="E25">
        <v>110</v>
      </c>
      <c r="G25">
        <v>180</v>
      </c>
      <c r="H25">
        <v>10800</v>
      </c>
      <c r="I25" s="12" t="str">
        <f>VLOOKUP(A25,MCompany[],2,FALSE)</f>
        <v>Bere Kleid</v>
      </c>
      <c r="J25" s="12" t="str">
        <f>VLOOKUP(TableTemp[[#This Row],[Customer Code]],MCustomer[],2,FALSE)</f>
        <v>Werner Strauss</v>
      </c>
      <c r="K25" s="12" t="str">
        <f>VLOOKUP(TableTemp[[#This Row],[Article code]],MArticle[],2,FALSE)</f>
        <v>Smartphone case diamond</v>
      </c>
      <c r="L25" s="12" t="str">
        <f>VLOOKUP(TableTemp[[#This Row],[Company]],MCompany[],3,FALSE)</f>
        <v>EUR</v>
      </c>
      <c r="M25" s="18">
        <f>IF(TableTemp[[#This Row],[Currency]]="EUR",ROUND(VLOOKUP(MONTH(TableTemp[[#This Row],[Document Date]]),MExchange[],2,FALSE)*TableTemp[[#This Row],[Sales Local Currency]],2),ROUND(TableTemp[[#This Row],[Sales Local Currency]],2))</f>
        <v>12689.34</v>
      </c>
      <c r="Q25" s="33"/>
      <c r="V25" s="26"/>
      <c r="AG25" s="33"/>
      <c r="AK25" s="22" t="s">
        <v>24</v>
      </c>
      <c r="AL25" s="30">
        <v>62694.75</v>
      </c>
      <c r="AM25" s="30">
        <v>920</v>
      </c>
    </row>
    <row r="26" spans="1:39" x14ac:dyDescent="0.25">
      <c r="A26" s="8" t="s">
        <v>31</v>
      </c>
      <c r="B26">
        <v>88588</v>
      </c>
      <c r="C26" s="9">
        <v>43388</v>
      </c>
      <c r="D26">
        <v>8040</v>
      </c>
      <c r="E26">
        <v>111</v>
      </c>
      <c r="G26">
        <v>750</v>
      </c>
      <c r="H26">
        <v>15000</v>
      </c>
      <c r="I26" s="12" t="str">
        <f>VLOOKUP(A26,MCompany[],2,FALSE)</f>
        <v>Bere Kleid</v>
      </c>
      <c r="J26" s="12" t="str">
        <f>VLOOKUP(TableTemp[[#This Row],[Customer Code]],MCustomer[],2,FALSE)</f>
        <v>Werner Strauss</v>
      </c>
      <c r="K26" s="12" t="str">
        <f>VLOOKUP(TableTemp[[#This Row],[Article code]],MArticle[],2,FALSE)</f>
        <v>Smartphone case simple</v>
      </c>
      <c r="L26" s="12" t="str">
        <f>VLOOKUP(TableTemp[[#This Row],[Company]],MCompany[],3,FALSE)</f>
        <v>EUR</v>
      </c>
      <c r="M26" s="18">
        <f>IF(TableTemp[[#This Row],[Currency]]="EUR",ROUND(VLOOKUP(MONTH(TableTemp[[#This Row],[Document Date]]),MExchange[],2,FALSE)*TableTemp[[#This Row],[Sales Local Currency]],2),ROUND(TableTemp[[#This Row],[Sales Local Currency]],2))</f>
        <v>17624.09</v>
      </c>
      <c r="Q26" s="33"/>
      <c r="V26" s="26"/>
      <c r="AG26" s="33"/>
      <c r="AK26" s="22" t="s">
        <v>15</v>
      </c>
      <c r="AL26" s="30">
        <v>31488.370000000003</v>
      </c>
      <c r="AM26" s="30">
        <v>1340</v>
      </c>
    </row>
    <row r="27" spans="1:39" x14ac:dyDescent="0.25">
      <c r="A27" s="8" t="s">
        <v>31</v>
      </c>
      <c r="B27">
        <v>88588</v>
      </c>
      <c r="C27" s="9">
        <v>43388</v>
      </c>
      <c r="D27">
        <v>8040</v>
      </c>
      <c r="E27">
        <v>109</v>
      </c>
      <c r="G27">
        <v>560</v>
      </c>
      <c r="H27">
        <v>15680</v>
      </c>
      <c r="I27" s="12" t="str">
        <f>VLOOKUP(A27,MCompany[],2,FALSE)</f>
        <v>Bere Kleid</v>
      </c>
      <c r="J27" s="12" t="str">
        <f>VLOOKUP(TableTemp[[#This Row],[Customer Code]],MCustomer[],2,FALSE)</f>
        <v>Werner Strauss</v>
      </c>
      <c r="K27" s="12" t="str">
        <f>VLOOKUP(TableTemp[[#This Row],[Article code]],MArticle[],2,FALSE)</f>
        <v>Laptop bag red</v>
      </c>
      <c r="L27" s="12" t="str">
        <f>VLOOKUP(TableTemp[[#This Row],[Company]],MCompany[],3,FALSE)</f>
        <v>EUR</v>
      </c>
      <c r="M27" s="18">
        <f>IF(TableTemp[[#This Row],[Currency]]="EUR",ROUND(VLOOKUP(MONTH(TableTemp[[#This Row],[Document Date]]),MExchange[],2,FALSE)*TableTemp[[#This Row],[Sales Local Currency]],2),ROUND(TableTemp[[#This Row],[Sales Local Currency]],2))</f>
        <v>18423.04</v>
      </c>
      <c r="Q27" s="33"/>
      <c r="V27" s="26"/>
      <c r="AG27" s="33"/>
      <c r="AK27" s="22" t="s">
        <v>13</v>
      </c>
      <c r="AL27" s="30">
        <v>26976.6</v>
      </c>
      <c r="AM27" s="30">
        <v>820</v>
      </c>
    </row>
    <row r="28" spans="1:39" x14ac:dyDescent="0.25">
      <c r="A28" s="8" t="s">
        <v>31</v>
      </c>
      <c r="B28">
        <v>88588</v>
      </c>
      <c r="C28" s="9">
        <v>43388</v>
      </c>
      <c r="D28">
        <v>8040</v>
      </c>
      <c r="E28">
        <v>105</v>
      </c>
      <c r="G28">
        <v>130</v>
      </c>
      <c r="H28">
        <v>1300</v>
      </c>
      <c r="I28" s="12" t="str">
        <f>VLOOKUP(A28,MCompany[],2,FALSE)</f>
        <v>Bere Kleid</v>
      </c>
      <c r="J28" s="12" t="str">
        <f>VLOOKUP(TableTemp[[#This Row],[Customer Code]],MCustomer[],2,FALSE)</f>
        <v>Werner Strauss</v>
      </c>
      <c r="K28" s="12" t="str">
        <f>VLOOKUP(TableTemp[[#This Row],[Article code]],MArticle[],2,FALSE)</f>
        <v>Women crop top black</v>
      </c>
      <c r="L28" s="12" t="str">
        <f>VLOOKUP(TableTemp[[#This Row],[Company]],MCompany[],3,FALSE)</f>
        <v>EUR</v>
      </c>
      <c r="M28" s="18">
        <f>IF(TableTemp[[#This Row],[Currency]]="EUR",ROUND(VLOOKUP(MONTH(TableTemp[[#This Row],[Document Date]]),MExchange[],2,FALSE)*TableTemp[[#This Row],[Sales Local Currency]],2),ROUND(TableTemp[[#This Row],[Sales Local Currency]],2))</f>
        <v>1527.42</v>
      </c>
      <c r="Q28" s="33"/>
      <c r="V28" s="26"/>
      <c r="AG28" s="33"/>
      <c r="AK28" s="22" t="s">
        <v>10</v>
      </c>
      <c r="AL28" s="30">
        <v>12266.36</v>
      </c>
      <c r="AM28" s="30">
        <v>870</v>
      </c>
    </row>
    <row r="29" spans="1:39" x14ac:dyDescent="0.25">
      <c r="A29" s="8" t="s">
        <v>31</v>
      </c>
      <c r="B29">
        <v>88588</v>
      </c>
      <c r="C29" s="9">
        <v>43388</v>
      </c>
      <c r="D29">
        <v>8040</v>
      </c>
      <c r="E29">
        <v>103</v>
      </c>
      <c r="G29">
        <v>110</v>
      </c>
      <c r="H29">
        <v>1320</v>
      </c>
      <c r="I29" s="12" t="str">
        <f>VLOOKUP(A29,MCompany[],2,FALSE)</f>
        <v>Bere Kleid</v>
      </c>
      <c r="J29" s="12" t="str">
        <f>VLOOKUP(TableTemp[[#This Row],[Customer Code]],MCustomer[],2,FALSE)</f>
        <v>Werner Strauss</v>
      </c>
      <c r="K29" s="12" t="str">
        <f>VLOOKUP(TableTemp[[#This Row],[Article code]],MArticle[],2,FALSE)</f>
        <v>Women type T simple white</v>
      </c>
      <c r="L29" s="12" t="str">
        <f>VLOOKUP(TableTemp[[#This Row],[Company]],MCompany[],3,FALSE)</f>
        <v>EUR</v>
      </c>
      <c r="M29" s="18">
        <f>IF(TableTemp[[#This Row],[Currency]]="EUR",ROUND(VLOOKUP(MONTH(TableTemp[[#This Row],[Document Date]]),MExchange[],2,FALSE)*TableTemp[[#This Row],[Sales Local Currency]],2),ROUND(TableTemp[[#This Row],[Sales Local Currency]],2))</f>
        <v>1550.92</v>
      </c>
      <c r="Q29" s="33"/>
      <c r="V29" s="26"/>
      <c r="AG29" s="33"/>
      <c r="AK29" s="22" t="s">
        <v>11</v>
      </c>
      <c r="AL29" s="30">
        <v>8988.2900000000009</v>
      </c>
      <c r="AM29" s="30">
        <v>1530</v>
      </c>
    </row>
    <row r="30" spans="1:39" x14ac:dyDescent="0.25">
      <c r="A30" s="8" t="s">
        <v>31</v>
      </c>
      <c r="B30">
        <v>88544</v>
      </c>
      <c r="C30" s="9">
        <v>43395</v>
      </c>
      <c r="D30">
        <v>8040</v>
      </c>
      <c r="E30">
        <v>107</v>
      </c>
      <c r="G30">
        <v>770</v>
      </c>
      <c r="H30">
        <v>3850</v>
      </c>
      <c r="I30" s="12" t="str">
        <f>VLOOKUP(A30,MCompany[],2,FALSE)</f>
        <v>Bere Kleid</v>
      </c>
      <c r="J30" s="12" t="str">
        <f>VLOOKUP(TableTemp[[#This Row],[Customer Code]],MCustomer[],2,FALSE)</f>
        <v>Werner Strauss</v>
      </c>
      <c r="K30" s="12" t="str">
        <f>VLOOKUP(TableTemp[[#This Row],[Article code]],MArticle[],2,FALSE)</f>
        <v>Women basics</v>
      </c>
      <c r="L30" s="12" t="str">
        <f>VLOOKUP(TableTemp[[#This Row],[Company]],MCompany[],3,FALSE)</f>
        <v>EUR</v>
      </c>
      <c r="M30" s="18">
        <f>IF(TableTemp[[#This Row],[Currency]]="EUR",ROUND(VLOOKUP(MONTH(TableTemp[[#This Row],[Document Date]]),MExchange[],2,FALSE)*TableTemp[[#This Row],[Sales Local Currency]],2),ROUND(TableTemp[[#This Row],[Sales Local Currency]],2))</f>
        <v>4523.5200000000004</v>
      </c>
      <c r="Q30" s="33"/>
      <c r="V30" s="26"/>
      <c r="AG30" s="33"/>
      <c r="AK30" s="22" t="s">
        <v>20</v>
      </c>
      <c r="AL30" s="30">
        <v>5357.72</v>
      </c>
      <c r="AM30" s="30">
        <v>760</v>
      </c>
    </row>
    <row r="31" spans="1:39" x14ac:dyDescent="0.25">
      <c r="A31" s="8" t="s">
        <v>31</v>
      </c>
      <c r="B31">
        <v>88544</v>
      </c>
      <c r="C31" s="9">
        <v>43395</v>
      </c>
      <c r="D31">
        <v>8040</v>
      </c>
      <c r="E31">
        <v>120</v>
      </c>
      <c r="G31">
        <v>300</v>
      </c>
      <c r="H31">
        <v>17400</v>
      </c>
      <c r="I31" s="12" t="str">
        <f>VLOOKUP(A31,MCompany[],2,FALSE)</f>
        <v>Bere Kleid</v>
      </c>
      <c r="J31" s="12" t="str">
        <f>VLOOKUP(TableTemp[[#This Row],[Customer Code]],MCustomer[],2,FALSE)</f>
        <v>Werner Strauss</v>
      </c>
      <c r="K31" s="12" t="str">
        <f>VLOOKUP(TableTemp[[#This Row],[Article code]],MArticle[],2,FALSE)</f>
        <v>Women evening dress Cocktail red</v>
      </c>
      <c r="L31" s="12" t="str">
        <f>VLOOKUP(TableTemp[[#This Row],[Company]],MCompany[],3,FALSE)</f>
        <v>EUR</v>
      </c>
      <c r="M31" s="18">
        <f>IF(TableTemp[[#This Row],[Currency]]="EUR",ROUND(VLOOKUP(MONTH(TableTemp[[#This Row],[Document Date]]),MExchange[],2,FALSE)*TableTemp[[#This Row],[Sales Local Currency]],2),ROUND(TableTemp[[#This Row],[Sales Local Currency]],2))</f>
        <v>20443.939999999999</v>
      </c>
      <c r="Q31" s="33"/>
      <c r="V31" s="26"/>
      <c r="AG31" s="33"/>
      <c r="AK31" s="22" t="s">
        <v>9</v>
      </c>
      <c r="AL31" s="30">
        <v>1550.92</v>
      </c>
      <c r="AM31" s="30">
        <v>110</v>
      </c>
    </row>
    <row r="32" spans="1:39" x14ac:dyDescent="0.25">
      <c r="A32" s="8" t="s">
        <v>31</v>
      </c>
      <c r="B32">
        <v>88666</v>
      </c>
      <c r="C32" s="9">
        <v>43399</v>
      </c>
      <c r="D32">
        <v>8030</v>
      </c>
      <c r="E32">
        <v>119</v>
      </c>
      <c r="G32">
        <v>330</v>
      </c>
      <c r="H32">
        <v>20460</v>
      </c>
      <c r="I32" s="12" t="str">
        <f>VLOOKUP(A32,MCompany[],2,FALSE)</f>
        <v>Bere Kleid</v>
      </c>
      <c r="J32" s="12" t="str">
        <f>VLOOKUP(TableTemp[[#This Row],[Customer Code]],MCustomer[],2,FALSE)</f>
        <v>Edson</v>
      </c>
      <c r="K32" s="12" t="str">
        <f>VLOOKUP(TableTemp[[#This Row],[Article code]],MArticle[],2,FALSE)</f>
        <v>Women evening dress long black</v>
      </c>
      <c r="L32" s="12" t="str">
        <f>VLOOKUP(TableTemp[[#This Row],[Company]],MCompany[],3,FALSE)</f>
        <v>EUR</v>
      </c>
      <c r="M32" s="18">
        <f>IF(TableTemp[[#This Row],[Currency]]="EUR",ROUND(VLOOKUP(MONTH(TableTemp[[#This Row],[Document Date]]),MExchange[],2,FALSE)*TableTemp[[#This Row],[Sales Local Currency]],2),ROUND(TableTemp[[#This Row],[Sales Local Currency]],2))</f>
        <v>24039.25</v>
      </c>
      <c r="Q32" s="33"/>
      <c r="V32" s="26"/>
      <c r="AG32" s="33"/>
      <c r="AK32" s="22" t="s">
        <v>5</v>
      </c>
      <c r="AL32" s="30">
        <v>1527.42</v>
      </c>
      <c r="AM32" s="30">
        <v>130</v>
      </c>
    </row>
    <row r="33" spans="1:39" x14ac:dyDescent="0.25">
      <c r="A33" s="8" t="s">
        <v>31</v>
      </c>
      <c r="B33">
        <v>88666</v>
      </c>
      <c r="C33" s="9">
        <v>43399</v>
      </c>
      <c r="D33">
        <v>8030</v>
      </c>
      <c r="E33">
        <v>107</v>
      </c>
      <c r="G33">
        <v>460</v>
      </c>
      <c r="H33">
        <v>2300</v>
      </c>
      <c r="I33" s="12" t="str">
        <f>VLOOKUP(A33,MCompany[],2,FALSE)</f>
        <v>Bere Kleid</v>
      </c>
      <c r="J33" s="12" t="str">
        <f>VLOOKUP(TableTemp[[#This Row],[Customer Code]],MCustomer[],2,FALSE)</f>
        <v>Edson</v>
      </c>
      <c r="K33" s="12" t="str">
        <f>VLOOKUP(TableTemp[[#This Row],[Article code]],MArticle[],2,FALSE)</f>
        <v>Women basics</v>
      </c>
      <c r="L33" s="12" t="str">
        <f>VLOOKUP(TableTemp[[#This Row],[Company]],MCompany[],3,FALSE)</f>
        <v>EUR</v>
      </c>
      <c r="M33" s="18">
        <f>IF(TableTemp[[#This Row],[Currency]]="EUR",ROUND(VLOOKUP(MONTH(TableTemp[[#This Row],[Document Date]]),MExchange[],2,FALSE)*TableTemp[[#This Row],[Sales Local Currency]],2),ROUND(TableTemp[[#This Row],[Sales Local Currency]],2))</f>
        <v>2702.36</v>
      </c>
      <c r="Q33" s="33"/>
      <c r="V33" s="26"/>
      <c r="AG33" s="33"/>
      <c r="AK33" s="21" t="s">
        <v>82</v>
      </c>
      <c r="AL33" s="30">
        <v>378530.10999999993</v>
      </c>
      <c r="AM33" s="30">
        <v>9660</v>
      </c>
    </row>
    <row r="34" spans="1:39" x14ac:dyDescent="0.25">
      <c r="A34" s="8" t="s">
        <v>31</v>
      </c>
      <c r="B34">
        <v>88666</v>
      </c>
      <c r="C34" s="9">
        <v>43399</v>
      </c>
      <c r="D34">
        <v>8030</v>
      </c>
      <c r="E34">
        <v>105</v>
      </c>
      <c r="F34">
        <v>1</v>
      </c>
      <c r="G34">
        <v>470</v>
      </c>
      <c r="H34">
        <v>4700</v>
      </c>
      <c r="I34" s="12" t="str">
        <f>VLOOKUP(A34,MCompany[],2,FALSE)</f>
        <v>Bere Kleid</v>
      </c>
      <c r="J34" s="12" t="str">
        <f>VLOOKUP(TableTemp[[#This Row],[Customer Code]],MCustomer[],2,FALSE)</f>
        <v>Edson</v>
      </c>
      <c r="K34" s="12" t="str">
        <f>VLOOKUP(TableTemp[[#This Row],[Article code]],MArticle[],2,FALSE)</f>
        <v>Women crop top black</v>
      </c>
      <c r="L34" s="12" t="str">
        <f>VLOOKUP(TableTemp[[#This Row],[Company]],MCompany[],3,FALSE)</f>
        <v>EUR</v>
      </c>
      <c r="M34" s="18">
        <f>IF(TableTemp[[#This Row],[Currency]]="EUR",ROUND(VLOOKUP(MONTH(TableTemp[[#This Row],[Document Date]]),MExchange[],2,FALSE)*TableTemp[[#This Row],[Sales Local Currency]],2),ROUND(TableTemp[[#This Row],[Sales Local Currency]],2))</f>
        <v>5522.21</v>
      </c>
      <c r="Q34" s="33"/>
      <c r="V34" s="26"/>
      <c r="AG34" s="33"/>
      <c r="AK34" s="20" t="s">
        <v>83</v>
      </c>
      <c r="AL34" s="30">
        <v>544079.02</v>
      </c>
      <c r="AM34" s="30">
        <v>16740</v>
      </c>
    </row>
    <row r="35" spans="1:39" x14ac:dyDescent="0.25">
      <c r="A35" s="8" t="s">
        <v>31</v>
      </c>
      <c r="B35">
        <v>88666</v>
      </c>
      <c r="C35" s="9">
        <v>43399</v>
      </c>
      <c r="D35">
        <v>8030</v>
      </c>
      <c r="E35">
        <v>115</v>
      </c>
      <c r="G35">
        <v>390</v>
      </c>
      <c r="H35">
        <v>2340</v>
      </c>
      <c r="I35" s="12" t="str">
        <f>VLOOKUP(A35,MCompany[],2,FALSE)</f>
        <v>Bere Kleid</v>
      </c>
      <c r="J35" s="12" t="str">
        <f>VLOOKUP(TableTemp[[#This Row],[Customer Code]],MCustomer[],2,FALSE)</f>
        <v>Edson</v>
      </c>
      <c r="K35" s="12" t="str">
        <f>VLOOKUP(TableTemp[[#This Row],[Article code]],MArticle[],2,FALSE)</f>
        <v>Unisex tank top black</v>
      </c>
      <c r="L35" s="12" t="str">
        <f>VLOOKUP(TableTemp[[#This Row],[Company]],MCompany[],3,FALSE)</f>
        <v>EUR</v>
      </c>
      <c r="M35" s="18">
        <f>IF(TableTemp[[#This Row],[Currency]]="EUR",ROUND(VLOOKUP(MONTH(TableTemp[[#This Row],[Document Date]]),MExchange[],2,FALSE)*TableTemp[[#This Row],[Sales Local Currency]],2),ROUND(TableTemp[[#This Row],[Sales Local Currency]],2))</f>
        <v>2749.36</v>
      </c>
      <c r="Q35" s="33"/>
      <c r="V35" s="26"/>
      <c r="AG35" s="33"/>
      <c r="AK35" s="20" t="s">
        <v>34</v>
      </c>
      <c r="AL35" s="30"/>
      <c r="AM35" s="30"/>
    </row>
    <row r="36" spans="1:39" x14ac:dyDescent="0.25">
      <c r="A36" s="8" t="s">
        <v>31</v>
      </c>
      <c r="B36">
        <v>88666</v>
      </c>
      <c r="C36" s="9">
        <v>43399</v>
      </c>
      <c r="D36">
        <v>8030</v>
      </c>
      <c r="E36">
        <v>116</v>
      </c>
      <c r="G36">
        <v>260</v>
      </c>
      <c r="H36">
        <v>1560</v>
      </c>
      <c r="I36" s="12" t="str">
        <f>VLOOKUP(A36,MCompany[],2,FALSE)</f>
        <v>Bere Kleid</v>
      </c>
      <c r="J36" s="12" t="str">
        <f>VLOOKUP(TableTemp[[#This Row],[Customer Code]],MCustomer[],2,FALSE)</f>
        <v>Edson</v>
      </c>
      <c r="K36" s="12" t="str">
        <f>VLOOKUP(TableTemp[[#This Row],[Article code]],MArticle[],2,FALSE)</f>
        <v>Unisex tank top white</v>
      </c>
      <c r="L36" s="12" t="str">
        <f>VLOOKUP(TableTemp[[#This Row],[Company]],MCompany[],3,FALSE)</f>
        <v>EUR</v>
      </c>
      <c r="M36" s="18">
        <f>IF(TableTemp[[#This Row],[Currency]]="EUR",ROUND(VLOOKUP(MONTH(TableTemp[[#This Row],[Document Date]]),MExchange[],2,FALSE)*TableTemp[[#This Row],[Sales Local Currency]],2),ROUND(TableTemp[[#This Row],[Sales Local Currency]],2))</f>
        <v>1832.9</v>
      </c>
      <c r="Q36" s="33"/>
      <c r="V36" s="26"/>
      <c r="AG36" s="33"/>
      <c r="AK36" s="21" t="s">
        <v>79</v>
      </c>
      <c r="AL36" s="30"/>
      <c r="AM36" s="30"/>
    </row>
    <row r="37" spans="1:39" x14ac:dyDescent="0.25">
      <c r="A37" s="8" t="s">
        <v>32</v>
      </c>
      <c r="B37">
        <v>44030</v>
      </c>
      <c r="C37" s="9">
        <v>43377</v>
      </c>
      <c r="D37">
        <v>8060</v>
      </c>
      <c r="E37">
        <v>108</v>
      </c>
      <c r="F37" t="s">
        <v>2</v>
      </c>
      <c r="G37">
        <v>60</v>
      </c>
      <c r="H37">
        <v>1680</v>
      </c>
      <c r="I37" s="12" t="str">
        <f>VLOOKUP(A37,MCompany[],2,FALSE)</f>
        <v>Lucas Basics</v>
      </c>
      <c r="J37" s="12" t="str">
        <f>VLOOKUP(TableTemp[[#This Row],[Customer Code]],MCustomer[],2,FALSE)</f>
        <v>Liebher</v>
      </c>
      <c r="K37" s="12" t="str">
        <f>VLOOKUP(TableTemp[[#This Row],[Article code]],MArticle[],2,FALSE)</f>
        <v>Laptop bag black</v>
      </c>
      <c r="L37" s="12" t="str">
        <f>VLOOKUP(TableTemp[[#This Row],[Company]],MCompany[],3,FALSE)</f>
        <v>EUR</v>
      </c>
      <c r="M37" s="18">
        <f>IF(TableTemp[[#This Row],[Currency]]="EUR",ROUND(VLOOKUP(MONTH(TableTemp[[#This Row],[Document Date]]),MExchange[],2,FALSE)*TableTemp[[#This Row],[Sales Local Currency]],2),ROUND(TableTemp[[#This Row],[Sales Local Currency]],2))</f>
        <v>1973.9</v>
      </c>
      <c r="Q37" s="33"/>
      <c r="V37" s="26"/>
      <c r="AG37" s="33"/>
      <c r="AK37" s="22" t="s">
        <v>14</v>
      </c>
      <c r="AL37" s="30">
        <v>16214.16</v>
      </c>
      <c r="AM37" s="30">
        <v>230</v>
      </c>
    </row>
    <row r="38" spans="1:39" x14ac:dyDescent="0.25">
      <c r="A38" s="8" t="s">
        <v>32</v>
      </c>
      <c r="B38">
        <v>44030</v>
      </c>
      <c r="C38" s="9">
        <v>43377</v>
      </c>
      <c r="D38">
        <v>8060</v>
      </c>
      <c r="E38">
        <v>109</v>
      </c>
      <c r="F38">
        <v>1</v>
      </c>
      <c r="G38">
        <v>60</v>
      </c>
      <c r="H38">
        <v>1680</v>
      </c>
      <c r="I38" s="12" t="str">
        <f>VLOOKUP(A38,MCompany[],2,FALSE)</f>
        <v>Lucas Basics</v>
      </c>
      <c r="J38" s="12" t="str">
        <f>VLOOKUP(TableTemp[[#This Row],[Customer Code]],MCustomer[],2,FALSE)</f>
        <v>Liebher</v>
      </c>
      <c r="K38" s="12" t="str">
        <f>VLOOKUP(TableTemp[[#This Row],[Article code]],MArticle[],2,FALSE)</f>
        <v>Laptop bag red</v>
      </c>
      <c r="L38" s="12" t="str">
        <f>VLOOKUP(TableTemp[[#This Row],[Company]],MCompany[],3,FALSE)</f>
        <v>EUR</v>
      </c>
      <c r="M38" s="18">
        <f>IF(TableTemp[[#This Row],[Currency]]="EUR",ROUND(VLOOKUP(MONTH(TableTemp[[#This Row],[Document Date]]),MExchange[],2,FALSE)*TableTemp[[#This Row],[Sales Local Currency]],2),ROUND(TableTemp[[#This Row],[Sales Local Currency]],2))</f>
        <v>1973.9</v>
      </c>
      <c r="V38" s="26"/>
      <c r="AG38" s="33"/>
      <c r="AK38" s="22" t="s">
        <v>12</v>
      </c>
      <c r="AL38" s="30">
        <v>11843.38</v>
      </c>
      <c r="AM38" s="30">
        <v>360</v>
      </c>
    </row>
    <row r="39" spans="1:39" x14ac:dyDescent="0.25">
      <c r="A39" s="8" t="s">
        <v>32</v>
      </c>
      <c r="B39">
        <v>44032</v>
      </c>
      <c r="C39" s="9">
        <v>43380</v>
      </c>
      <c r="D39">
        <v>8060</v>
      </c>
      <c r="E39">
        <v>108</v>
      </c>
      <c r="F39" t="s">
        <v>2</v>
      </c>
      <c r="G39">
        <v>60</v>
      </c>
      <c r="H39">
        <v>1680</v>
      </c>
      <c r="I39" s="12" t="str">
        <f>VLOOKUP(A39,MCompany[],2,FALSE)</f>
        <v>Lucas Basics</v>
      </c>
      <c r="J39" s="12" t="str">
        <f>VLOOKUP(TableTemp[[#This Row],[Customer Code]],MCustomer[],2,FALSE)</f>
        <v>Liebher</v>
      </c>
      <c r="K39" s="12" t="str">
        <f>VLOOKUP(TableTemp[[#This Row],[Article code]],MArticle[],2,FALSE)</f>
        <v>Laptop bag black</v>
      </c>
      <c r="L39" s="12" t="str">
        <f>VLOOKUP(TableTemp[[#This Row],[Company]],MCompany[],3,FALSE)</f>
        <v>EUR</v>
      </c>
      <c r="M39" s="18">
        <f>IF(TableTemp[[#This Row],[Currency]]="EUR",ROUND(VLOOKUP(MONTH(TableTemp[[#This Row],[Document Date]]),MExchange[],2,FALSE)*TableTemp[[#This Row],[Sales Local Currency]],2),ROUND(TableTemp[[#This Row],[Sales Local Currency]],2))</f>
        <v>1973.9</v>
      </c>
      <c r="AK39" s="22" t="s">
        <v>13</v>
      </c>
      <c r="AL39" s="30">
        <v>11514.41</v>
      </c>
      <c r="AM39" s="30">
        <v>350</v>
      </c>
    </row>
    <row r="40" spans="1:39" x14ac:dyDescent="0.25">
      <c r="A40" s="8" t="s">
        <v>32</v>
      </c>
      <c r="B40">
        <v>44032</v>
      </c>
      <c r="C40" s="9">
        <v>43380</v>
      </c>
      <c r="D40">
        <v>8060</v>
      </c>
      <c r="E40">
        <v>109</v>
      </c>
      <c r="G40">
        <v>70</v>
      </c>
      <c r="H40">
        <v>1960</v>
      </c>
      <c r="I40" s="12" t="str">
        <f>VLOOKUP(A40,MCompany[],2,FALSE)</f>
        <v>Lucas Basics</v>
      </c>
      <c r="J40" s="12" t="str">
        <f>VLOOKUP(TableTemp[[#This Row],[Customer Code]],MCustomer[],2,FALSE)</f>
        <v>Liebher</v>
      </c>
      <c r="K40" s="12" t="str">
        <f>VLOOKUP(TableTemp[[#This Row],[Article code]],MArticle[],2,FALSE)</f>
        <v>Laptop bag red</v>
      </c>
      <c r="L40" s="12" t="str">
        <f>VLOOKUP(TableTemp[[#This Row],[Company]],MCompany[],3,FALSE)</f>
        <v>EUR</v>
      </c>
      <c r="M40" s="18">
        <f>IF(TableTemp[[#This Row],[Currency]]="EUR",ROUND(VLOOKUP(MONTH(TableTemp[[#This Row],[Document Date]]),MExchange[],2,FALSE)*TableTemp[[#This Row],[Sales Local Currency]],2),ROUND(TableTemp[[#This Row],[Sales Local Currency]],2))</f>
        <v>2302.88</v>
      </c>
      <c r="AK40" s="22" t="s">
        <v>15</v>
      </c>
      <c r="AL40" s="30">
        <v>6579.6600000000008</v>
      </c>
      <c r="AM40" s="30">
        <v>280</v>
      </c>
    </row>
    <row r="41" spans="1:39" x14ac:dyDescent="0.25">
      <c r="A41" s="8" t="s">
        <v>32</v>
      </c>
      <c r="B41">
        <v>44031</v>
      </c>
      <c r="C41" s="9">
        <v>43381</v>
      </c>
      <c r="D41">
        <v>8050</v>
      </c>
      <c r="E41">
        <v>108</v>
      </c>
      <c r="F41" t="s">
        <v>2</v>
      </c>
      <c r="G41">
        <v>60</v>
      </c>
      <c r="H41">
        <v>1680</v>
      </c>
      <c r="I41" s="12" t="str">
        <f>VLOOKUP(A41,MCompany[],2,FALSE)</f>
        <v>Lucas Basics</v>
      </c>
      <c r="J41" s="12" t="str">
        <f>VLOOKUP(TableTemp[[#This Row],[Customer Code]],MCustomer[],2,FALSE)</f>
        <v>Aida GmbH</v>
      </c>
      <c r="K41" s="12" t="str">
        <f>VLOOKUP(TableTemp[[#This Row],[Article code]],MArticle[],2,FALSE)</f>
        <v>Laptop bag black</v>
      </c>
      <c r="L41" s="12" t="str">
        <f>VLOOKUP(TableTemp[[#This Row],[Company]],MCompany[],3,FALSE)</f>
        <v>EUR</v>
      </c>
      <c r="M41" s="18">
        <f>IF(TableTemp[[#This Row],[Currency]]="EUR",ROUND(VLOOKUP(MONTH(TableTemp[[#This Row],[Document Date]]),MExchange[],2,FALSE)*TableTemp[[#This Row],[Sales Local Currency]],2),ROUND(TableTemp[[#This Row],[Sales Local Currency]],2))</f>
        <v>1973.9</v>
      </c>
      <c r="AK41" s="21" t="s">
        <v>81</v>
      </c>
      <c r="AL41" s="30">
        <v>46151.61</v>
      </c>
      <c r="AM41" s="30">
        <v>1220</v>
      </c>
    </row>
    <row r="42" spans="1:39" x14ac:dyDescent="0.25">
      <c r="A42" s="8" t="s">
        <v>32</v>
      </c>
      <c r="B42">
        <v>44031</v>
      </c>
      <c r="C42" s="9">
        <v>43381</v>
      </c>
      <c r="D42">
        <v>8050</v>
      </c>
      <c r="E42">
        <v>109</v>
      </c>
      <c r="F42" t="s">
        <v>2</v>
      </c>
      <c r="G42">
        <v>50</v>
      </c>
      <c r="H42">
        <v>1400</v>
      </c>
      <c r="I42" s="12" t="str">
        <f>VLOOKUP(A42,MCompany[],2,FALSE)</f>
        <v>Lucas Basics</v>
      </c>
      <c r="J42" s="12" t="str">
        <f>VLOOKUP(TableTemp[[#This Row],[Customer Code]],MCustomer[],2,FALSE)</f>
        <v>Aida GmbH</v>
      </c>
      <c r="K42" s="12" t="str">
        <f>VLOOKUP(TableTemp[[#This Row],[Article code]],MArticle[],2,FALSE)</f>
        <v>Laptop bag red</v>
      </c>
      <c r="L42" s="12" t="str">
        <f>VLOOKUP(TableTemp[[#This Row],[Company]],MCompany[],3,FALSE)</f>
        <v>EUR</v>
      </c>
      <c r="M42" s="18">
        <f>IF(TableTemp[[#This Row],[Currency]]="EUR",ROUND(VLOOKUP(MONTH(TableTemp[[#This Row],[Document Date]]),MExchange[],2,FALSE)*TableTemp[[#This Row],[Sales Local Currency]],2),ROUND(TableTemp[[#This Row],[Sales Local Currency]],2))</f>
        <v>1644.91</v>
      </c>
      <c r="AK42" s="21" t="s">
        <v>80</v>
      </c>
      <c r="AL42" s="30"/>
      <c r="AM42" s="30"/>
    </row>
    <row r="43" spans="1:39" x14ac:dyDescent="0.25">
      <c r="A43" s="8" t="s">
        <v>32</v>
      </c>
      <c r="B43">
        <v>44031</v>
      </c>
      <c r="C43" s="9">
        <v>43381</v>
      </c>
      <c r="D43">
        <v>8050</v>
      </c>
      <c r="E43">
        <v>110</v>
      </c>
      <c r="F43" t="s">
        <v>2</v>
      </c>
      <c r="G43">
        <v>60</v>
      </c>
      <c r="H43">
        <v>3600</v>
      </c>
      <c r="I43" s="12" t="str">
        <f>VLOOKUP(A43,MCompany[],2,FALSE)</f>
        <v>Lucas Basics</v>
      </c>
      <c r="J43" s="12" t="str">
        <f>VLOOKUP(TableTemp[[#This Row],[Customer Code]],MCustomer[],2,FALSE)</f>
        <v>Aida GmbH</v>
      </c>
      <c r="K43" s="12" t="str">
        <f>VLOOKUP(TableTemp[[#This Row],[Article code]],MArticle[],2,FALSE)</f>
        <v>Smartphone case diamond</v>
      </c>
      <c r="L43" s="12" t="str">
        <f>VLOOKUP(TableTemp[[#This Row],[Company]],MCompany[],3,FALSE)</f>
        <v>EUR</v>
      </c>
      <c r="M43" s="18">
        <f>IF(TableTemp[[#This Row],[Currency]]="EUR",ROUND(VLOOKUP(MONTH(TableTemp[[#This Row],[Document Date]]),MExchange[],2,FALSE)*TableTemp[[#This Row],[Sales Local Currency]],2),ROUND(TableTemp[[#This Row],[Sales Local Currency]],2))</f>
        <v>4229.78</v>
      </c>
      <c r="AK43" s="22" t="s">
        <v>14</v>
      </c>
      <c r="AL43" s="30">
        <v>23968.760000000002</v>
      </c>
      <c r="AM43" s="30">
        <v>340</v>
      </c>
    </row>
    <row r="44" spans="1:39" x14ac:dyDescent="0.25">
      <c r="A44" s="8" t="s">
        <v>32</v>
      </c>
      <c r="B44">
        <v>48112</v>
      </c>
      <c r="C44" s="9">
        <v>43384</v>
      </c>
      <c r="D44">
        <v>8060</v>
      </c>
      <c r="E44">
        <v>109</v>
      </c>
      <c r="G44">
        <v>60</v>
      </c>
      <c r="H44">
        <v>1680</v>
      </c>
      <c r="I44" s="12" t="str">
        <f>VLOOKUP(A44,MCompany[],2,FALSE)</f>
        <v>Lucas Basics</v>
      </c>
      <c r="J44" s="12" t="str">
        <f>VLOOKUP(TableTemp[[#This Row],[Customer Code]],MCustomer[],2,FALSE)</f>
        <v>Liebher</v>
      </c>
      <c r="K44" s="12" t="str">
        <f>VLOOKUP(TableTemp[[#This Row],[Article code]],MArticle[],2,FALSE)</f>
        <v>Laptop bag red</v>
      </c>
      <c r="L44" s="12" t="str">
        <f>VLOOKUP(TableTemp[[#This Row],[Company]],MCompany[],3,FALSE)</f>
        <v>EUR</v>
      </c>
      <c r="M44" s="18">
        <f>IF(TableTemp[[#This Row],[Currency]]="EUR",ROUND(VLOOKUP(MONTH(TableTemp[[#This Row],[Document Date]]),MExchange[],2,FALSE)*TableTemp[[#This Row],[Sales Local Currency]],2),ROUND(TableTemp[[#This Row],[Sales Local Currency]],2))</f>
        <v>1973.9</v>
      </c>
      <c r="AK44" s="22" t="s">
        <v>13</v>
      </c>
      <c r="AL44" s="30">
        <v>21712.880000000005</v>
      </c>
      <c r="AM44" s="30">
        <v>660</v>
      </c>
    </row>
    <row r="45" spans="1:39" x14ac:dyDescent="0.25">
      <c r="A45" s="8" t="s">
        <v>32</v>
      </c>
      <c r="B45">
        <v>48112</v>
      </c>
      <c r="C45" s="9">
        <v>43384</v>
      </c>
      <c r="D45">
        <v>8060</v>
      </c>
      <c r="E45">
        <v>110</v>
      </c>
      <c r="F45" t="s">
        <v>2</v>
      </c>
      <c r="G45">
        <v>50</v>
      </c>
      <c r="H45">
        <v>3000</v>
      </c>
      <c r="I45" s="12" t="str">
        <f>VLOOKUP(A45,MCompany[],2,FALSE)</f>
        <v>Lucas Basics</v>
      </c>
      <c r="J45" s="12" t="str">
        <f>VLOOKUP(TableTemp[[#This Row],[Customer Code]],MCustomer[],2,FALSE)</f>
        <v>Liebher</v>
      </c>
      <c r="K45" s="12" t="str">
        <f>VLOOKUP(TableTemp[[#This Row],[Article code]],MArticle[],2,FALSE)</f>
        <v>Smartphone case diamond</v>
      </c>
      <c r="L45" s="12" t="str">
        <f>VLOOKUP(TableTemp[[#This Row],[Company]],MCompany[],3,FALSE)</f>
        <v>EUR</v>
      </c>
      <c r="M45" s="18">
        <f>IF(TableTemp[[#This Row],[Currency]]="EUR",ROUND(VLOOKUP(MONTH(TableTemp[[#This Row],[Document Date]]),MExchange[],2,FALSE)*TableTemp[[#This Row],[Sales Local Currency]],2),ROUND(TableTemp[[#This Row],[Sales Local Currency]],2))</f>
        <v>3524.82</v>
      </c>
      <c r="AK45" s="22" t="s">
        <v>12</v>
      </c>
      <c r="AL45" s="30">
        <v>12830.34</v>
      </c>
      <c r="AM45" s="30">
        <v>390</v>
      </c>
    </row>
    <row r="46" spans="1:39" x14ac:dyDescent="0.25">
      <c r="A46" s="8" t="s">
        <v>32</v>
      </c>
      <c r="B46">
        <v>48114</v>
      </c>
      <c r="C46" s="9">
        <v>43384</v>
      </c>
      <c r="D46">
        <v>8050</v>
      </c>
      <c r="E46">
        <v>109</v>
      </c>
      <c r="G46">
        <v>60</v>
      </c>
      <c r="H46">
        <v>1680</v>
      </c>
      <c r="I46" s="12" t="str">
        <f>VLOOKUP(A46,MCompany[],2,FALSE)</f>
        <v>Lucas Basics</v>
      </c>
      <c r="J46" s="12" t="str">
        <f>VLOOKUP(TableTemp[[#This Row],[Customer Code]],MCustomer[],2,FALSE)</f>
        <v>Aida GmbH</v>
      </c>
      <c r="K46" s="12" t="str">
        <f>VLOOKUP(TableTemp[[#This Row],[Article code]],MArticle[],2,FALSE)</f>
        <v>Laptop bag red</v>
      </c>
      <c r="L46" s="12" t="str">
        <f>VLOOKUP(TableTemp[[#This Row],[Company]],MCompany[],3,FALSE)</f>
        <v>EUR</v>
      </c>
      <c r="M46" s="18">
        <f>IF(TableTemp[[#This Row],[Currency]]="EUR",ROUND(VLOOKUP(MONTH(TableTemp[[#This Row],[Document Date]]),MExchange[],2,FALSE)*TableTemp[[#This Row],[Sales Local Currency]],2),ROUND(TableTemp[[#This Row],[Sales Local Currency]],2))</f>
        <v>1973.9</v>
      </c>
      <c r="AK46" s="21" t="s">
        <v>87</v>
      </c>
      <c r="AL46" s="30">
        <v>58511.98</v>
      </c>
      <c r="AM46" s="30">
        <v>1390</v>
      </c>
    </row>
    <row r="47" spans="1:39" x14ac:dyDescent="0.25">
      <c r="A47" s="8" t="s">
        <v>32</v>
      </c>
      <c r="B47">
        <v>48114</v>
      </c>
      <c r="C47" s="9">
        <v>43384</v>
      </c>
      <c r="D47">
        <v>8050</v>
      </c>
      <c r="E47">
        <v>110</v>
      </c>
      <c r="G47">
        <v>60</v>
      </c>
      <c r="H47">
        <v>3600</v>
      </c>
      <c r="I47" s="12" t="str">
        <f>VLOOKUP(A47,MCompany[],2,FALSE)</f>
        <v>Lucas Basics</v>
      </c>
      <c r="J47" s="12" t="str">
        <f>VLOOKUP(TableTemp[[#This Row],[Customer Code]],MCustomer[],2,FALSE)</f>
        <v>Aida GmbH</v>
      </c>
      <c r="K47" s="12" t="str">
        <f>VLOOKUP(TableTemp[[#This Row],[Article code]],MArticle[],2,FALSE)</f>
        <v>Smartphone case diamond</v>
      </c>
      <c r="L47" s="12" t="str">
        <f>VLOOKUP(TableTemp[[#This Row],[Company]],MCompany[],3,FALSE)</f>
        <v>EUR</v>
      </c>
      <c r="M47" s="18">
        <f>IF(TableTemp[[#This Row],[Currency]]="EUR",ROUND(VLOOKUP(MONTH(TableTemp[[#This Row],[Document Date]]),MExchange[],2,FALSE)*TableTemp[[#This Row],[Sales Local Currency]],2),ROUND(TableTemp[[#This Row],[Sales Local Currency]],2))</f>
        <v>4229.78</v>
      </c>
      <c r="AK47" s="20" t="s">
        <v>88</v>
      </c>
      <c r="AL47" s="30">
        <v>104663.59</v>
      </c>
      <c r="AM47" s="30">
        <v>2610</v>
      </c>
    </row>
    <row r="48" spans="1:39" x14ac:dyDescent="0.25">
      <c r="A48" s="8" t="s">
        <v>32</v>
      </c>
      <c r="B48">
        <v>48114</v>
      </c>
      <c r="C48" s="9">
        <v>43384</v>
      </c>
      <c r="D48">
        <v>8050</v>
      </c>
      <c r="E48">
        <v>111</v>
      </c>
      <c r="G48">
        <v>80</v>
      </c>
      <c r="H48">
        <v>1600</v>
      </c>
      <c r="I48" s="12" t="str">
        <f>VLOOKUP(A48,MCompany[],2,FALSE)</f>
        <v>Lucas Basics</v>
      </c>
      <c r="J48" s="12" t="str">
        <f>VLOOKUP(TableTemp[[#This Row],[Customer Code]],MCustomer[],2,FALSE)</f>
        <v>Aida GmbH</v>
      </c>
      <c r="K48" s="12" t="str">
        <f>VLOOKUP(TableTemp[[#This Row],[Article code]],MArticle[],2,FALSE)</f>
        <v>Smartphone case simple</v>
      </c>
      <c r="L48" s="12" t="str">
        <f>VLOOKUP(TableTemp[[#This Row],[Company]],MCompany[],3,FALSE)</f>
        <v>EUR</v>
      </c>
      <c r="M48" s="18">
        <f>IF(TableTemp[[#This Row],[Currency]]="EUR",ROUND(VLOOKUP(MONTH(TableTemp[[#This Row],[Document Date]]),MExchange[],2,FALSE)*TableTemp[[#This Row],[Sales Local Currency]],2),ROUND(TableTemp[[#This Row],[Sales Local Currency]],2))</f>
        <v>1879.9</v>
      </c>
      <c r="AK48" s="20" t="s">
        <v>65</v>
      </c>
      <c r="AL48" s="30">
        <v>648742.6100000001</v>
      </c>
      <c r="AM48" s="30">
        <v>19350</v>
      </c>
    </row>
    <row r="49" spans="1:13" x14ac:dyDescent="0.25">
      <c r="A49" s="8" t="s">
        <v>32</v>
      </c>
      <c r="B49">
        <v>48116</v>
      </c>
      <c r="C49" s="9">
        <v>43384</v>
      </c>
      <c r="D49">
        <v>8060</v>
      </c>
      <c r="E49">
        <v>109</v>
      </c>
      <c r="G49">
        <v>60</v>
      </c>
      <c r="H49">
        <v>1680</v>
      </c>
      <c r="I49" s="12" t="str">
        <f>VLOOKUP(A49,MCompany[],2,FALSE)</f>
        <v>Lucas Basics</v>
      </c>
      <c r="J49" s="12" t="str">
        <f>VLOOKUP(TableTemp[[#This Row],[Customer Code]],MCustomer[],2,FALSE)</f>
        <v>Liebher</v>
      </c>
      <c r="K49" s="12" t="str">
        <f>VLOOKUP(TableTemp[[#This Row],[Article code]],MArticle[],2,FALSE)</f>
        <v>Laptop bag red</v>
      </c>
      <c r="L49" s="12" t="str">
        <f>VLOOKUP(TableTemp[[#This Row],[Company]],MCompany[],3,FALSE)</f>
        <v>EUR</v>
      </c>
      <c r="M49" s="18">
        <f>IF(TableTemp[[#This Row],[Currency]]="EUR",ROUND(VLOOKUP(MONTH(TableTemp[[#This Row],[Document Date]]),MExchange[],2,FALSE)*TableTemp[[#This Row],[Sales Local Currency]],2),ROUND(TableTemp[[#This Row],[Sales Local Currency]],2))</f>
        <v>1973.9</v>
      </c>
    </row>
    <row r="50" spans="1:13" x14ac:dyDescent="0.25">
      <c r="A50" s="8" t="s">
        <v>32</v>
      </c>
      <c r="B50">
        <v>48116</v>
      </c>
      <c r="C50" s="9">
        <v>43384</v>
      </c>
      <c r="D50">
        <v>8060</v>
      </c>
      <c r="E50">
        <v>110</v>
      </c>
      <c r="G50">
        <v>60</v>
      </c>
      <c r="H50">
        <v>3600</v>
      </c>
      <c r="I50" s="12" t="str">
        <f>VLOOKUP(A50,MCompany[],2,FALSE)</f>
        <v>Lucas Basics</v>
      </c>
      <c r="J50" s="12" t="str">
        <f>VLOOKUP(TableTemp[[#This Row],[Customer Code]],MCustomer[],2,FALSE)</f>
        <v>Liebher</v>
      </c>
      <c r="K50" s="12" t="str">
        <f>VLOOKUP(TableTemp[[#This Row],[Article code]],MArticle[],2,FALSE)</f>
        <v>Smartphone case diamond</v>
      </c>
      <c r="L50" s="12" t="str">
        <f>VLOOKUP(TableTemp[[#This Row],[Company]],MCompany[],3,FALSE)</f>
        <v>EUR</v>
      </c>
      <c r="M50" s="18">
        <f>IF(TableTemp[[#This Row],[Currency]]="EUR",ROUND(VLOOKUP(MONTH(TableTemp[[#This Row],[Document Date]]),MExchange[],2,FALSE)*TableTemp[[#This Row],[Sales Local Currency]],2),ROUND(TableTemp[[#This Row],[Sales Local Currency]],2))</f>
        <v>4229.78</v>
      </c>
    </row>
    <row r="51" spans="1:13" x14ac:dyDescent="0.25">
      <c r="A51" s="8" t="s">
        <v>32</v>
      </c>
      <c r="B51">
        <v>45442</v>
      </c>
      <c r="C51" s="9">
        <v>43388</v>
      </c>
      <c r="D51">
        <v>8050</v>
      </c>
      <c r="E51">
        <v>108</v>
      </c>
      <c r="G51">
        <v>50</v>
      </c>
      <c r="H51">
        <v>1400</v>
      </c>
      <c r="I51" s="12" t="str">
        <f>VLOOKUP(A51,MCompany[],2,FALSE)</f>
        <v>Lucas Basics</v>
      </c>
      <c r="J51" s="12" t="str">
        <f>VLOOKUP(TableTemp[[#This Row],[Customer Code]],MCustomer[],2,FALSE)</f>
        <v>Aida GmbH</v>
      </c>
      <c r="K51" s="12" t="str">
        <f>VLOOKUP(TableTemp[[#This Row],[Article code]],MArticle[],2,FALSE)</f>
        <v>Laptop bag black</v>
      </c>
      <c r="L51" s="12" t="str">
        <f>VLOOKUP(TableTemp[[#This Row],[Company]],MCompany[],3,FALSE)</f>
        <v>EUR</v>
      </c>
      <c r="M51" s="18">
        <f>IF(TableTemp[[#This Row],[Currency]]="EUR",ROUND(VLOOKUP(MONTH(TableTemp[[#This Row],[Document Date]]),MExchange[],2,FALSE)*TableTemp[[#This Row],[Sales Local Currency]],2),ROUND(TableTemp[[#This Row],[Sales Local Currency]],2))</f>
        <v>1644.91</v>
      </c>
    </row>
    <row r="52" spans="1:13" x14ac:dyDescent="0.25">
      <c r="A52" s="8" t="s">
        <v>32</v>
      </c>
      <c r="B52">
        <v>45442</v>
      </c>
      <c r="C52" s="9">
        <v>43388</v>
      </c>
      <c r="D52">
        <v>8050</v>
      </c>
      <c r="E52">
        <v>109</v>
      </c>
      <c r="F52">
        <v>1</v>
      </c>
      <c r="G52">
        <v>60</v>
      </c>
      <c r="H52">
        <v>1680</v>
      </c>
      <c r="I52" s="12" t="str">
        <f>VLOOKUP(A52,MCompany[],2,FALSE)</f>
        <v>Lucas Basics</v>
      </c>
      <c r="J52" s="12" t="str">
        <f>VLOOKUP(TableTemp[[#This Row],[Customer Code]],MCustomer[],2,FALSE)</f>
        <v>Aida GmbH</v>
      </c>
      <c r="K52" s="12" t="str">
        <f>VLOOKUP(TableTemp[[#This Row],[Article code]],MArticle[],2,FALSE)</f>
        <v>Laptop bag red</v>
      </c>
      <c r="L52" s="12" t="str">
        <f>VLOOKUP(TableTemp[[#This Row],[Company]],MCompany[],3,FALSE)</f>
        <v>EUR</v>
      </c>
      <c r="M52" s="18">
        <f>IF(TableTemp[[#This Row],[Currency]]="EUR",ROUND(VLOOKUP(MONTH(TableTemp[[#This Row],[Document Date]]),MExchange[],2,FALSE)*TableTemp[[#This Row],[Sales Local Currency]],2),ROUND(TableTemp[[#This Row],[Sales Local Currency]],2))</f>
        <v>1973.9</v>
      </c>
    </row>
    <row r="53" spans="1:13" x14ac:dyDescent="0.25">
      <c r="A53" s="8" t="s">
        <v>32</v>
      </c>
      <c r="B53">
        <v>45444</v>
      </c>
      <c r="C53" s="9">
        <v>43388</v>
      </c>
      <c r="D53">
        <v>8060</v>
      </c>
      <c r="E53">
        <v>108</v>
      </c>
      <c r="G53">
        <v>60</v>
      </c>
      <c r="H53">
        <v>1680</v>
      </c>
      <c r="I53" s="12" t="str">
        <f>VLOOKUP(A53,MCompany[],2,FALSE)</f>
        <v>Lucas Basics</v>
      </c>
      <c r="J53" s="12" t="str">
        <f>VLOOKUP(TableTemp[[#This Row],[Customer Code]],MCustomer[],2,FALSE)</f>
        <v>Liebher</v>
      </c>
      <c r="K53" s="12" t="str">
        <f>VLOOKUP(TableTemp[[#This Row],[Article code]],MArticle[],2,FALSE)</f>
        <v>Laptop bag black</v>
      </c>
      <c r="L53" s="12" t="str">
        <f>VLOOKUP(TableTemp[[#This Row],[Company]],MCompany[],3,FALSE)</f>
        <v>EUR</v>
      </c>
      <c r="M53" s="18">
        <f>IF(TableTemp[[#This Row],[Currency]]="EUR",ROUND(VLOOKUP(MONTH(TableTemp[[#This Row],[Document Date]]),MExchange[],2,FALSE)*TableTemp[[#This Row],[Sales Local Currency]],2),ROUND(TableTemp[[#This Row],[Sales Local Currency]],2))</f>
        <v>1973.9</v>
      </c>
    </row>
    <row r="54" spans="1:13" x14ac:dyDescent="0.25">
      <c r="A54" s="8" t="s">
        <v>32</v>
      </c>
      <c r="B54">
        <v>45444</v>
      </c>
      <c r="C54" s="9">
        <v>43388</v>
      </c>
      <c r="D54">
        <v>8060</v>
      </c>
      <c r="E54">
        <v>109</v>
      </c>
      <c r="G54">
        <v>70</v>
      </c>
      <c r="H54">
        <v>1960</v>
      </c>
      <c r="I54" s="12" t="str">
        <f>VLOOKUP(A54,MCompany[],2,FALSE)</f>
        <v>Lucas Basics</v>
      </c>
      <c r="J54" s="12" t="str">
        <f>VLOOKUP(TableTemp[[#This Row],[Customer Code]],MCustomer[],2,FALSE)</f>
        <v>Liebher</v>
      </c>
      <c r="K54" s="12" t="str">
        <f>VLOOKUP(TableTemp[[#This Row],[Article code]],MArticle[],2,FALSE)</f>
        <v>Laptop bag red</v>
      </c>
      <c r="L54" s="12" t="str">
        <f>VLOOKUP(TableTemp[[#This Row],[Company]],MCompany[],3,FALSE)</f>
        <v>EUR</v>
      </c>
      <c r="M54" s="18">
        <f>IF(TableTemp[[#This Row],[Currency]]="EUR",ROUND(VLOOKUP(MONTH(TableTemp[[#This Row],[Document Date]]),MExchange[],2,FALSE)*TableTemp[[#This Row],[Sales Local Currency]],2),ROUND(TableTemp[[#This Row],[Sales Local Currency]],2))</f>
        <v>2302.88</v>
      </c>
    </row>
    <row r="55" spans="1:13" x14ac:dyDescent="0.25">
      <c r="A55" s="8" t="s">
        <v>32</v>
      </c>
      <c r="B55">
        <v>45444</v>
      </c>
      <c r="C55" s="9">
        <v>43388</v>
      </c>
      <c r="D55">
        <v>8060</v>
      </c>
      <c r="E55">
        <v>110</v>
      </c>
      <c r="G55">
        <v>60</v>
      </c>
      <c r="H55">
        <v>3600</v>
      </c>
      <c r="I55" s="12" t="str">
        <f>VLOOKUP(A55,MCompany[],2,FALSE)</f>
        <v>Lucas Basics</v>
      </c>
      <c r="J55" s="12" t="str">
        <f>VLOOKUP(TableTemp[[#This Row],[Customer Code]],MCustomer[],2,FALSE)</f>
        <v>Liebher</v>
      </c>
      <c r="K55" s="12" t="str">
        <f>VLOOKUP(TableTemp[[#This Row],[Article code]],MArticle[],2,FALSE)</f>
        <v>Smartphone case diamond</v>
      </c>
      <c r="L55" s="12" t="str">
        <f>VLOOKUP(TableTemp[[#This Row],[Company]],MCompany[],3,FALSE)</f>
        <v>EUR</v>
      </c>
      <c r="M55" s="18">
        <f>IF(TableTemp[[#This Row],[Currency]]="EUR",ROUND(VLOOKUP(MONTH(TableTemp[[#This Row],[Document Date]]),MExchange[],2,FALSE)*TableTemp[[#This Row],[Sales Local Currency]],2),ROUND(TableTemp[[#This Row],[Sales Local Currency]],2))</f>
        <v>4229.78</v>
      </c>
    </row>
    <row r="56" spans="1:13" x14ac:dyDescent="0.25">
      <c r="A56" s="8" t="s">
        <v>32</v>
      </c>
      <c r="B56">
        <v>45446</v>
      </c>
      <c r="C56" s="9">
        <v>43388</v>
      </c>
      <c r="D56">
        <v>8050</v>
      </c>
      <c r="E56">
        <v>111</v>
      </c>
      <c r="G56">
        <v>80</v>
      </c>
      <c r="H56">
        <v>1600</v>
      </c>
      <c r="I56" s="12" t="str">
        <f>VLOOKUP(A56,MCompany[],2,FALSE)</f>
        <v>Lucas Basics</v>
      </c>
      <c r="J56" s="12" t="str">
        <f>VLOOKUP(TableTemp[[#This Row],[Customer Code]],MCustomer[],2,FALSE)</f>
        <v>Aida GmbH</v>
      </c>
      <c r="K56" s="12" t="str">
        <f>VLOOKUP(TableTemp[[#This Row],[Article code]],MArticle[],2,FALSE)</f>
        <v>Smartphone case simple</v>
      </c>
      <c r="L56" s="12" t="str">
        <f>VLOOKUP(TableTemp[[#This Row],[Company]],MCompany[],3,FALSE)</f>
        <v>EUR</v>
      </c>
      <c r="M56" s="18">
        <f>IF(TableTemp[[#This Row],[Currency]]="EUR",ROUND(VLOOKUP(MONTH(TableTemp[[#This Row],[Document Date]]),MExchange[],2,FALSE)*TableTemp[[#This Row],[Sales Local Currency]],2),ROUND(TableTemp[[#This Row],[Sales Local Currency]],2))</f>
        <v>1879.9</v>
      </c>
    </row>
    <row r="57" spans="1:13" x14ac:dyDescent="0.25">
      <c r="A57" s="8" t="s">
        <v>32</v>
      </c>
      <c r="B57">
        <v>45446</v>
      </c>
      <c r="C57" s="9">
        <v>43388</v>
      </c>
      <c r="D57">
        <v>8050</v>
      </c>
      <c r="E57">
        <v>108</v>
      </c>
      <c r="G57">
        <v>50</v>
      </c>
      <c r="H57">
        <v>1400</v>
      </c>
      <c r="I57" s="12" t="str">
        <f>VLOOKUP(A57,MCompany[],2,FALSE)</f>
        <v>Lucas Basics</v>
      </c>
      <c r="J57" s="12" t="str">
        <f>VLOOKUP(TableTemp[[#This Row],[Customer Code]],MCustomer[],2,FALSE)</f>
        <v>Aida GmbH</v>
      </c>
      <c r="K57" s="12" t="str">
        <f>VLOOKUP(TableTemp[[#This Row],[Article code]],MArticle[],2,FALSE)</f>
        <v>Laptop bag black</v>
      </c>
      <c r="L57" s="12" t="str">
        <f>VLOOKUP(TableTemp[[#This Row],[Company]],MCompany[],3,FALSE)</f>
        <v>EUR</v>
      </c>
      <c r="M57" s="18">
        <f>IF(TableTemp[[#This Row],[Currency]]="EUR",ROUND(VLOOKUP(MONTH(TableTemp[[#This Row],[Document Date]]),MExchange[],2,FALSE)*TableTemp[[#This Row],[Sales Local Currency]],2),ROUND(TableTemp[[#This Row],[Sales Local Currency]],2))</f>
        <v>1644.91</v>
      </c>
    </row>
    <row r="58" spans="1:13" x14ac:dyDescent="0.25">
      <c r="A58" s="8" t="s">
        <v>32</v>
      </c>
      <c r="B58">
        <v>44015</v>
      </c>
      <c r="C58" s="9">
        <v>43383</v>
      </c>
      <c r="D58">
        <v>8060</v>
      </c>
      <c r="E58">
        <v>108</v>
      </c>
      <c r="G58">
        <v>60</v>
      </c>
      <c r="H58">
        <v>1680</v>
      </c>
      <c r="I58" s="12" t="str">
        <f>VLOOKUP(A58,MCompany[],2,FALSE)</f>
        <v>Lucas Basics</v>
      </c>
      <c r="J58" s="12" t="str">
        <f>VLOOKUP(TableTemp[[#This Row],[Customer Code]],MCustomer[],2,FALSE)</f>
        <v>Liebher</v>
      </c>
      <c r="K58" s="12" t="str">
        <f>VLOOKUP(TableTemp[[#This Row],[Article code]],MArticle[],2,FALSE)</f>
        <v>Laptop bag black</v>
      </c>
      <c r="L58" s="12" t="str">
        <f>VLOOKUP(TableTemp[[#This Row],[Company]],MCompany[],3,FALSE)</f>
        <v>EUR</v>
      </c>
      <c r="M58" s="18">
        <f>IF(TableTemp[[#This Row],[Currency]]="EUR",ROUND(VLOOKUP(MONTH(TableTemp[[#This Row],[Document Date]]),MExchange[],2,FALSE)*TableTemp[[#This Row],[Sales Local Currency]],2),ROUND(TableTemp[[#This Row],[Sales Local Currency]],2))</f>
        <v>1973.9</v>
      </c>
    </row>
    <row r="59" spans="1:13" x14ac:dyDescent="0.25">
      <c r="A59" s="8" t="s">
        <v>32</v>
      </c>
      <c r="B59">
        <v>44015</v>
      </c>
      <c r="C59" s="9">
        <v>43383</v>
      </c>
      <c r="D59">
        <v>8060</v>
      </c>
      <c r="E59">
        <v>109</v>
      </c>
      <c r="G59">
        <v>70</v>
      </c>
      <c r="H59">
        <v>1960</v>
      </c>
      <c r="I59" s="12" t="str">
        <f>VLOOKUP(A59,MCompany[],2,FALSE)</f>
        <v>Lucas Basics</v>
      </c>
      <c r="J59" s="12" t="str">
        <f>VLOOKUP(TableTemp[[#This Row],[Customer Code]],MCustomer[],2,FALSE)</f>
        <v>Liebher</v>
      </c>
      <c r="K59" s="12" t="str">
        <f>VLOOKUP(TableTemp[[#This Row],[Article code]],MArticle[],2,FALSE)</f>
        <v>Laptop bag red</v>
      </c>
      <c r="L59" s="12" t="str">
        <f>VLOOKUP(TableTemp[[#This Row],[Company]],MCompany[],3,FALSE)</f>
        <v>EUR</v>
      </c>
      <c r="M59" s="18">
        <f>IF(TableTemp[[#This Row],[Currency]]="EUR",ROUND(VLOOKUP(MONTH(TableTemp[[#This Row],[Document Date]]),MExchange[],2,FALSE)*TableTemp[[#This Row],[Sales Local Currency]],2),ROUND(TableTemp[[#This Row],[Sales Local Currency]],2))</f>
        <v>2302.88</v>
      </c>
    </row>
    <row r="60" spans="1:13" x14ac:dyDescent="0.25">
      <c r="A60" s="8" t="s">
        <v>32</v>
      </c>
      <c r="B60">
        <v>44017</v>
      </c>
      <c r="C60" s="9">
        <v>43386</v>
      </c>
      <c r="D60">
        <v>8060</v>
      </c>
      <c r="E60">
        <v>108</v>
      </c>
      <c r="G60">
        <v>70</v>
      </c>
      <c r="H60">
        <v>1960</v>
      </c>
      <c r="I60" s="12" t="str">
        <f>VLOOKUP(A60,MCompany[],2,FALSE)</f>
        <v>Lucas Basics</v>
      </c>
      <c r="J60" s="12" t="str">
        <f>VLOOKUP(TableTemp[[#This Row],[Customer Code]],MCustomer[],2,FALSE)</f>
        <v>Liebher</v>
      </c>
      <c r="K60" s="12" t="str">
        <f>VLOOKUP(TableTemp[[#This Row],[Article code]],MArticle[],2,FALSE)</f>
        <v>Laptop bag black</v>
      </c>
      <c r="L60" s="12" t="str">
        <f>VLOOKUP(TableTemp[[#This Row],[Company]],MCompany[],3,FALSE)</f>
        <v>EUR</v>
      </c>
      <c r="M60" s="18">
        <f>IF(TableTemp[[#This Row],[Currency]]="EUR",ROUND(VLOOKUP(MONTH(TableTemp[[#This Row],[Document Date]]),MExchange[],2,FALSE)*TableTemp[[#This Row],[Sales Local Currency]],2),ROUND(TableTemp[[#This Row],[Sales Local Currency]],2))</f>
        <v>2302.88</v>
      </c>
    </row>
    <row r="61" spans="1:13" x14ac:dyDescent="0.25">
      <c r="A61" s="8" t="s">
        <v>32</v>
      </c>
      <c r="B61">
        <v>44017</v>
      </c>
      <c r="C61" s="9">
        <v>43386</v>
      </c>
      <c r="D61">
        <v>8060</v>
      </c>
      <c r="E61">
        <v>109</v>
      </c>
      <c r="G61">
        <v>70</v>
      </c>
      <c r="H61">
        <v>1960</v>
      </c>
      <c r="I61" s="12" t="str">
        <f>VLOOKUP(A61,MCompany[],2,FALSE)</f>
        <v>Lucas Basics</v>
      </c>
      <c r="J61" s="12" t="str">
        <f>VLOOKUP(TableTemp[[#This Row],[Customer Code]],MCustomer[],2,FALSE)</f>
        <v>Liebher</v>
      </c>
      <c r="K61" s="12" t="str">
        <f>VLOOKUP(TableTemp[[#This Row],[Article code]],MArticle[],2,FALSE)</f>
        <v>Laptop bag red</v>
      </c>
      <c r="L61" s="12" t="str">
        <f>VLOOKUP(TableTemp[[#This Row],[Company]],MCompany[],3,FALSE)</f>
        <v>EUR</v>
      </c>
      <c r="M61" s="18">
        <f>IF(TableTemp[[#This Row],[Currency]]="EUR",ROUND(VLOOKUP(MONTH(TableTemp[[#This Row],[Document Date]]),MExchange[],2,FALSE)*TableTemp[[#This Row],[Sales Local Currency]],2),ROUND(TableTemp[[#This Row],[Sales Local Currency]],2))</f>
        <v>2302.88</v>
      </c>
    </row>
    <row r="62" spans="1:13" x14ac:dyDescent="0.25">
      <c r="A62" s="8" t="s">
        <v>32</v>
      </c>
      <c r="B62">
        <v>44016</v>
      </c>
      <c r="C62" s="9">
        <v>43387</v>
      </c>
      <c r="D62">
        <v>8050</v>
      </c>
      <c r="E62">
        <v>108</v>
      </c>
      <c r="G62">
        <v>70</v>
      </c>
      <c r="H62">
        <v>1960</v>
      </c>
      <c r="I62" s="12" t="str">
        <f>VLOOKUP(A62,MCompany[],2,FALSE)</f>
        <v>Lucas Basics</v>
      </c>
      <c r="J62" s="12" t="str">
        <f>VLOOKUP(TableTemp[[#This Row],[Customer Code]],MCustomer[],2,FALSE)</f>
        <v>Aida GmbH</v>
      </c>
      <c r="K62" s="12" t="str">
        <f>VLOOKUP(TableTemp[[#This Row],[Article code]],MArticle[],2,FALSE)</f>
        <v>Laptop bag black</v>
      </c>
      <c r="L62" s="12" t="str">
        <f>VLOOKUP(TableTemp[[#This Row],[Company]],MCompany[],3,FALSE)</f>
        <v>EUR</v>
      </c>
      <c r="M62" s="18">
        <f>IF(TableTemp[[#This Row],[Currency]]="EUR",ROUND(VLOOKUP(MONTH(TableTemp[[#This Row],[Document Date]]),MExchange[],2,FALSE)*TableTemp[[#This Row],[Sales Local Currency]],2),ROUND(TableTemp[[#This Row],[Sales Local Currency]],2))</f>
        <v>2302.88</v>
      </c>
    </row>
    <row r="63" spans="1:13" x14ac:dyDescent="0.25">
      <c r="A63" s="8" t="s">
        <v>32</v>
      </c>
      <c r="B63">
        <v>44016</v>
      </c>
      <c r="C63" s="9">
        <v>43387</v>
      </c>
      <c r="D63">
        <v>8050</v>
      </c>
      <c r="E63">
        <v>109</v>
      </c>
      <c r="F63">
        <v>1</v>
      </c>
      <c r="G63">
        <v>60</v>
      </c>
      <c r="H63">
        <v>1680</v>
      </c>
      <c r="I63" s="12" t="str">
        <f>VLOOKUP(A63,MCompany[],2,FALSE)</f>
        <v>Lucas Basics</v>
      </c>
      <c r="J63" s="12" t="str">
        <f>VLOOKUP(TableTemp[[#This Row],[Customer Code]],MCustomer[],2,FALSE)</f>
        <v>Aida GmbH</v>
      </c>
      <c r="K63" s="12" t="str">
        <f>VLOOKUP(TableTemp[[#This Row],[Article code]],MArticle[],2,FALSE)</f>
        <v>Laptop bag red</v>
      </c>
      <c r="L63" s="12" t="str">
        <f>VLOOKUP(TableTemp[[#This Row],[Company]],MCompany[],3,FALSE)</f>
        <v>EUR</v>
      </c>
      <c r="M63" s="18">
        <f>IF(TableTemp[[#This Row],[Currency]]="EUR",ROUND(VLOOKUP(MONTH(TableTemp[[#This Row],[Document Date]]),MExchange[],2,FALSE)*TableTemp[[#This Row],[Sales Local Currency]],2),ROUND(TableTemp[[#This Row],[Sales Local Currency]],2))</f>
        <v>1973.9</v>
      </c>
    </row>
    <row r="64" spans="1:13" x14ac:dyDescent="0.25">
      <c r="A64" s="8" t="s">
        <v>32</v>
      </c>
      <c r="B64">
        <v>44016</v>
      </c>
      <c r="C64" s="9">
        <v>43387</v>
      </c>
      <c r="D64">
        <v>8050</v>
      </c>
      <c r="E64">
        <v>110</v>
      </c>
      <c r="G64">
        <v>50</v>
      </c>
      <c r="H64">
        <v>3000</v>
      </c>
      <c r="I64" s="12" t="str">
        <f>VLOOKUP(A64,MCompany[],2,FALSE)</f>
        <v>Lucas Basics</v>
      </c>
      <c r="J64" s="12" t="str">
        <f>VLOOKUP(TableTemp[[#This Row],[Customer Code]],MCustomer[],2,FALSE)</f>
        <v>Aida GmbH</v>
      </c>
      <c r="K64" s="12" t="str">
        <f>VLOOKUP(TableTemp[[#This Row],[Article code]],MArticle[],2,FALSE)</f>
        <v>Smartphone case diamond</v>
      </c>
      <c r="L64" s="12" t="str">
        <f>VLOOKUP(TableTemp[[#This Row],[Company]],MCompany[],3,FALSE)</f>
        <v>EUR</v>
      </c>
      <c r="M64" s="18">
        <f>IF(TableTemp[[#This Row],[Currency]]="EUR",ROUND(VLOOKUP(MONTH(TableTemp[[#This Row],[Document Date]]),MExchange[],2,FALSE)*TableTemp[[#This Row],[Sales Local Currency]],2),ROUND(TableTemp[[#This Row],[Sales Local Currency]],2))</f>
        <v>3524.82</v>
      </c>
    </row>
    <row r="65" spans="1:13" x14ac:dyDescent="0.25">
      <c r="A65" s="8" t="s">
        <v>32</v>
      </c>
      <c r="B65">
        <v>48097</v>
      </c>
      <c r="C65" s="9">
        <v>43390</v>
      </c>
      <c r="D65">
        <v>8060</v>
      </c>
      <c r="E65">
        <v>109</v>
      </c>
      <c r="G65">
        <v>60</v>
      </c>
      <c r="H65">
        <v>1680</v>
      </c>
      <c r="I65" s="12" t="str">
        <f>VLOOKUP(A65,MCompany[],2,FALSE)</f>
        <v>Lucas Basics</v>
      </c>
      <c r="J65" s="12" t="str">
        <f>VLOOKUP(TableTemp[[#This Row],[Customer Code]],MCustomer[],2,FALSE)</f>
        <v>Liebher</v>
      </c>
      <c r="K65" s="12" t="str">
        <f>VLOOKUP(TableTemp[[#This Row],[Article code]],MArticle[],2,FALSE)</f>
        <v>Laptop bag red</v>
      </c>
      <c r="L65" s="12" t="str">
        <f>VLOOKUP(TableTemp[[#This Row],[Company]],MCompany[],3,FALSE)</f>
        <v>EUR</v>
      </c>
      <c r="M65" s="18">
        <f>IF(TableTemp[[#This Row],[Currency]]="EUR",ROUND(VLOOKUP(MONTH(TableTemp[[#This Row],[Document Date]]),MExchange[],2,FALSE)*TableTemp[[#This Row],[Sales Local Currency]],2),ROUND(TableTemp[[#This Row],[Sales Local Currency]],2))</f>
        <v>1973.9</v>
      </c>
    </row>
    <row r="66" spans="1:13" x14ac:dyDescent="0.25">
      <c r="A66" s="8" t="s">
        <v>32</v>
      </c>
      <c r="B66">
        <v>48097</v>
      </c>
      <c r="C66" s="9">
        <v>43390</v>
      </c>
      <c r="D66">
        <v>8060</v>
      </c>
      <c r="E66">
        <v>110</v>
      </c>
      <c r="G66">
        <v>70</v>
      </c>
      <c r="H66">
        <v>4200</v>
      </c>
      <c r="I66" s="12" t="str">
        <f>VLOOKUP(A66,MCompany[],2,FALSE)</f>
        <v>Lucas Basics</v>
      </c>
      <c r="J66" s="12" t="str">
        <f>VLOOKUP(TableTemp[[#This Row],[Customer Code]],MCustomer[],2,FALSE)</f>
        <v>Liebher</v>
      </c>
      <c r="K66" s="12" t="str">
        <f>VLOOKUP(TableTemp[[#This Row],[Article code]],MArticle[],2,FALSE)</f>
        <v>Smartphone case diamond</v>
      </c>
      <c r="L66" s="12" t="str">
        <f>VLOOKUP(TableTemp[[#This Row],[Company]],MCompany[],3,FALSE)</f>
        <v>EUR</v>
      </c>
      <c r="M66" s="18">
        <f>IF(TableTemp[[#This Row],[Currency]]="EUR",ROUND(VLOOKUP(MONTH(TableTemp[[#This Row],[Document Date]]),MExchange[],2,FALSE)*TableTemp[[#This Row],[Sales Local Currency]],2),ROUND(TableTemp[[#This Row],[Sales Local Currency]],2))</f>
        <v>4934.74</v>
      </c>
    </row>
    <row r="67" spans="1:13" x14ac:dyDescent="0.25">
      <c r="A67" s="8" t="s">
        <v>32</v>
      </c>
      <c r="B67">
        <v>48099</v>
      </c>
      <c r="C67" s="9">
        <v>43390</v>
      </c>
      <c r="D67">
        <v>8050</v>
      </c>
      <c r="E67">
        <v>109</v>
      </c>
      <c r="F67">
        <v>1</v>
      </c>
      <c r="G67">
        <v>60</v>
      </c>
      <c r="H67">
        <v>1680</v>
      </c>
      <c r="I67" s="12" t="str">
        <f>VLOOKUP(A67,MCompany[],2,FALSE)</f>
        <v>Lucas Basics</v>
      </c>
      <c r="J67" s="12" t="str">
        <f>VLOOKUP(TableTemp[[#This Row],[Customer Code]],MCustomer[],2,FALSE)</f>
        <v>Aida GmbH</v>
      </c>
      <c r="K67" s="12" t="str">
        <f>VLOOKUP(TableTemp[[#This Row],[Article code]],MArticle[],2,FALSE)</f>
        <v>Laptop bag red</v>
      </c>
      <c r="L67" s="12" t="str">
        <f>VLOOKUP(TableTemp[[#This Row],[Company]],MCompany[],3,FALSE)</f>
        <v>EUR</v>
      </c>
      <c r="M67" s="18">
        <f>IF(TableTemp[[#This Row],[Currency]]="EUR",ROUND(VLOOKUP(MONTH(TableTemp[[#This Row],[Document Date]]),MExchange[],2,FALSE)*TableTemp[[#This Row],[Sales Local Currency]],2),ROUND(TableTemp[[#This Row],[Sales Local Currency]],2))</f>
        <v>1973.9</v>
      </c>
    </row>
    <row r="68" spans="1:13" x14ac:dyDescent="0.25">
      <c r="A68" s="8" t="s">
        <v>32</v>
      </c>
      <c r="B68">
        <v>48099</v>
      </c>
      <c r="C68" s="9">
        <v>43390</v>
      </c>
      <c r="D68">
        <v>8050</v>
      </c>
      <c r="E68">
        <v>110</v>
      </c>
      <c r="G68">
        <v>60</v>
      </c>
      <c r="H68">
        <v>3600</v>
      </c>
      <c r="I68" s="12" t="str">
        <f>VLOOKUP(A68,MCompany[],2,FALSE)</f>
        <v>Lucas Basics</v>
      </c>
      <c r="J68" s="12" t="str">
        <f>VLOOKUP(TableTemp[[#This Row],[Customer Code]],MCustomer[],2,FALSE)</f>
        <v>Aida GmbH</v>
      </c>
      <c r="K68" s="12" t="str">
        <f>VLOOKUP(TableTemp[[#This Row],[Article code]],MArticle[],2,FALSE)</f>
        <v>Smartphone case diamond</v>
      </c>
      <c r="L68" s="12" t="str">
        <f>VLOOKUP(TableTemp[[#This Row],[Company]],MCompany[],3,FALSE)</f>
        <v>EUR</v>
      </c>
      <c r="M68" s="18">
        <f>IF(TableTemp[[#This Row],[Currency]]="EUR",ROUND(VLOOKUP(MONTH(TableTemp[[#This Row],[Document Date]]),MExchange[],2,FALSE)*TableTemp[[#This Row],[Sales Local Currency]],2),ROUND(TableTemp[[#This Row],[Sales Local Currency]],2))</f>
        <v>4229.78</v>
      </c>
    </row>
    <row r="69" spans="1:13" x14ac:dyDescent="0.25">
      <c r="A69" s="8" t="s">
        <v>32</v>
      </c>
      <c r="B69">
        <v>48099</v>
      </c>
      <c r="C69" s="9">
        <v>43390</v>
      </c>
      <c r="D69">
        <v>8050</v>
      </c>
      <c r="E69">
        <v>111</v>
      </c>
      <c r="G69">
        <v>60</v>
      </c>
      <c r="H69">
        <v>1200</v>
      </c>
      <c r="I69" s="12" t="str">
        <f>VLOOKUP(A69,MCompany[],2,FALSE)</f>
        <v>Lucas Basics</v>
      </c>
      <c r="J69" s="12" t="str">
        <f>VLOOKUP(TableTemp[[#This Row],[Customer Code]],MCustomer[],2,FALSE)</f>
        <v>Aida GmbH</v>
      </c>
      <c r="K69" s="12" t="str">
        <f>VLOOKUP(TableTemp[[#This Row],[Article code]],MArticle[],2,FALSE)</f>
        <v>Smartphone case simple</v>
      </c>
      <c r="L69" s="12" t="str">
        <f>VLOOKUP(TableTemp[[#This Row],[Company]],MCompany[],3,FALSE)</f>
        <v>EUR</v>
      </c>
      <c r="M69" s="18">
        <f>IF(TableTemp[[#This Row],[Currency]]="EUR",ROUND(VLOOKUP(MONTH(TableTemp[[#This Row],[Document Date]]),MExchange[],2,FALSE)*TableTemp[[#This Row],[Sales Local Currency]],2),ROUND(TableTemp[[#This Row],[Sales Local Currency]],2))</f>
        <v>1409.93</v>
      </c>
    </row>
    <row r="70" spans="1:13" x14ac:dyDescent="0.25">
      <c r="A70" s="8" t="s">
        <v>32</v>
      </c>
      <c r="B70">
        <v>48101</v>
      </c>
      <c r="C70" s="9">
        <v>43390</v>
      </c>
      <c r="D70">
        <v>8060</v>
      </c>
      <c r="E70">
        <v>109</v>
      </c>
      <c r="G70">
        <v>60</v>
      </c>
      <c r="H70">
        <v>1680</v>
      </c>
      <c r="I70" s="12" t="str">
        <f>VLOOKUP(A70,MCompany[],2,FALSE)</f>
        <v>Lucas Basics</v>
      </c>
      <c r="J70" s="12" t="str">
        <f>VLOOKUP(TableTemp[[#This Row],[Customer Code]],MCustomer[],2,FALSE)</f>
        <v>Liebher</v>
      </c>
      <c r="K70" s="12" t="str">
        <f>VLOOKUP(TableTemp[[#This Row],[Article code]],MArticle[],2,FALSE)</f>
        <v>Laptop bag red</v>
      </c>
      <c r="L70" s="12" t="str">
        <f>VLOOKUP(TableTemp[[#This Row],[Company]],MCompany[],3,FALSE)</f>
        <v>EUR</v>
      </c>
      <c r="M70" s="18">
        <f>IF(TableTemp[[#This Row],[Currency]]="EUR",ROUND(VLOOKUP(MONTH(TableTemp[[#This Row],[Document Date]]),MExchange[],2,FALSE)*TableTemp[[#This Row],[Sales Local Currency]],2),ROUND(TableTemp[[#This Row],[Sales Local Currency]],2))</f>
        <v>1973.9</v>
      </c>
    </row>
    <row r="71" spans="1:13" x14ac:dyDescent="0.25">
      <c r="A71" s="8" t="s">
        <v>32</v>
      </c>
      <c r="B71">
        <v>48101</v>
      </c>
      <c r="C71" s="9">
        <v>43390</v>
      </c>
      <c r="D71">
        <v>8060</v>
      </c>
      <c r="E71">
        <v>110</v>
      </c>
      <c r="G71">
        <v>50</v>
      </c>
      <c r="H71">
        <v>3000</v>
      </c>
      <c r="I71" s="12" t="str">
        <f>VLOOKUP(A71,MCompany[],2,FALSE)</f>
        <v>Lucas Basics</v>
      </c>
      <c r="J71" s="12" t="str">
        <f>VLOOKUP(TableTemp[[#This Row],[Customer Code]],MCustomer[],2,FALSE)</f>
        <v>Liebher</v>
      </c>
      <c r="K71" s="12" t="str">
        <f>VLOOKUP(TableTemp[[#This Row],[Article code]],MArticle[],2,FALSE)</f>
        <v>Smartphone case diamond</v>
      </c>
      <c r="L71" s="12" t="str">
        <f>VLOOKUP(TableTemp[[#This Row],[Company]],MCompany[],3,FALSE)</f>
        <v>EUR</v>
      </c>
      <c r="M71" s="18">
        <f>IF(TableTemp[[#This Row],[Currency]]="EUR",ROUND(VLOOKUP(MONTH(TableTemp[[#This Row],[Document Date]]),MExchange[],2,FALSE)*TableTemp[[#This Row],[Sales Local Currency]],2),ROUND(TableTemp[[#This Row],[Sales Local Currency]],2))</f>
        <v>3524.82</v>
      </c>
    </row>
    <row r="72" spans="1:13" x14ac:dyDescent="0.25">
      <c r="A72" s="8" t="s">
        <v>32</v>
      </c>
      <c r="B72">
        <v>45427</v>
      </c>
      <c r="C72" s="9">
        <v>43394</v>
      </c>
      <c r="D72">
        <v>8050</v>
      </c>
      <c r="E72">
        <v>108</v>
      </c>
      <c r="G72">
        <v>70</v>
      </c>
      <c r="H72">
        <v>1960</v>
      </c>
      <c r="I72" s="12" t="str">
        <f>VLOOKUP(A72,MCompany[],2,FALSE)</f>
        <v>Lucas Basics</v>
      </c>
      <c r="J72" s="12" t="str">
        <f>VLOOKUP(TableTemp[[#This Row],[Customer Code]],MCustomer[],2,FALSE)</f>
        <v>Aida GmbH</v>
      </c>
      <c r="K72" s="12" t="str">
        <f>VLOOKUP(TableTemp[[#This Row],[Article code]],MArticle[],2,FALSE)</f>
        <v>Laptop bag black</v>
      </c>
      <c r="L72" s="12" t="str">
        <f>VLOOKUP(TableTemp[[#This Row],[Company]],MCompany[],3,FALSE)</f>
        <v>EUR</v>
      </c>
      <c r="M72" s="18">
        <f>IF(TableTemp[[#This Row],[Currency]]="EUR",ROUND(VLOOKUP(MONTH(TableTemp[[#This Row],[Document Date]]),MExchange[],2,FALSE)*TableTemp[[#This Row],[Sales Local Currency]],2),ROUND(TableTemp[[#This Row],[Sales Local Currency]],2))</f>
        <v>2302.88</v>
      </c>
    </row>
    <row r="73" spans="1:13" x14ac:dyDescent="0.25">
      <c r="A73" s="8" t="s">
        <v>32</v>
      </c>
      <c r="B73">
        <v>45427</v>
      </c>
      <c r="C73" s="9">
        <v>43394</v>
      </c>
      <c r="D73">
        <v>8050</v>
      </c>
      <c r="E73">
        <v>109</v>
      </c>
      <c r="G73">
        <v>60</v>
      </c>
      <c r="H73">
        <v>1680</v>
      </c>
      <c r="I73" s="12" t="str">
        <f>VLOOKUP(A73,MCompany[],2,FALSE)</f>
        <v>Lucas Basics</v>
      </c>
      <c r="J73" s="12" t="str">
        <f>VLOOKUP(TableTemp[[#This Row],[Customer Code]],MCustomer[],2,FALSE)</f>
        <v>Aida GmbH</v>
      </c>
      <c r="K73" s="12" t="str">
        <f>VLOOKUP(TableTemp[[#This Row],[Article code]],MArticle[],2,FALSE)</f>
        <v>Laptop bag red</v>
      </c>
      <c r="L73" s="12" t="str">
        <f>VLOOKUP(TableTemp[[#This Row],[Company]],MCompany[],3,FALSE)</f>
        <v>EUR</v>
      </c>
      <c r="M73" s="18">
        <f>IF(TableTemp[[#This Row],[Currency]]="EUR",ROUND(VLOOKUP(MONTH(TableTemp[[#This Row],[Document Date]]),MExchange[],2,FALSE)*TableTemp[[#This Row],[Sales Local Currency]],2),ROUND(TableTemp[[#This Row],[Sales Local Currency]],2))</f>
        <v>1973.9</v>
      </c>
    </row>
    <row r="74" spans="1:13" x14ac:dyDescent="0.25">
      <c r="A74" s="8" t="s">
        <v>32</v>
      </c>
      <c r="B74">
        <v>45429</v>
      </c>
      <c r="C74" s="9">
        <v>43394</v>
      </c>
      <c r="D74">
        <v>8060</v>
      </c>
      <c r="E74">
        <v>108</v>
      </c>
      <c r="G74">
        <v>80</v>
      </c>
      <c r="H74">
        <v>2240</v>
      </c>
      <c r="I74" s="12" t="str">
        <f>VLOOKUP(A74,MCompany[],2,FALSE)</f>
        <v>Lucas Basics</v>
      </c>
      <c r="J74" s="12" t="str">
        <f>VLOOKUP(TableTemp[[#This Row],[Customer Code]],MCustomer[],2,FALSE)</f>
        <v>Liebher</v>
      </c>
      <c r="K74" s="12" t="str">
        <f>VLOOKUP(TableTemp[[#This Row],[Article code]],MArticle[],2,FALSE)</f>
        <v>Laptop bag black</v>
      </c>
      <c r="L74" s="12" t="str">
        <f>VLOOKUP(TableTemp[[#This Row],[Company]],MCompany[],3,FALSE)</f>
        <v>EUR</v>
      </c>
      <c r="M74" s="18">
        <f>IF(TableTemp[[#This Row],[Currency]]="EUR",ROUND(VLOOKUP(MONTH(TableTemp[[#This Row],[Document Date]]),MExchange[],2,FALSE)*TableTemp[[#This Row],[Sales Local Currency]],2),ROUND(TableTemp[[#This Row],[Sales Local Currency]],2))</f>
        <v>2631.86</v>
      </c>
    </row>
    <row r="75" spans="1:13" x14ac:dyDescent="0.25">
      <c r="A75" s="8" t="s">
        <v>32</v>
      </c>
      <c r="B75">
        <v>45429</v>
      </c>
      <c r="C75" s="9">
        <v>43394</v>
      </c>
      <c r="D75">
        <v>8060</v>
      </c>
      <c r="E75">
        <v>109</v>
      </c>
      <c r="F75">
        <v>2</v>
      </c>
      <c r="G75">
        <v>80</v>
      </c>
      <c r="H75">
        <v>2240</v>
      </c>
      <c r="I75" s="12" t="str">
        <f>VLOOKUP(A75,MCompany[],2,FALSE)</f>
        <v>Lucas Basics</v>
      </c>
      <c r="J75" s="12" t="str">
        <f>VLOOKUP(TableTemp[[#This Row],[Customer Code]],MCustomer[],2,FALSE)</f>
        <v>Liebher</v>
      </c>
      <c r="K75" s="12" t="str">
        <f>VLOOKUP(TableTemp[[#This Row],[Article code]],MArticle[],2,FALSE)</f>
        <v>Laptop bag red</v>
      </c>
      <c r="L75" s="12" t="str">
        <f>VLOOKUP(TableTemp[[#This Row],[Company]],MCompany[],3,FALSE)</f>
        <v>EUR</v>
      </c>
      <c r="M75" s="18">
        <f>IF(TableTemp[[#This Row],[Currency]]="EUR",ROUND(VLOOKUP(MONTH(TableTemp[[#This Row],[Document Date]]),MExchange[],2,FALSE)*TableTemp[[#This Row],[Sales Local Currency]],2),ROUND(TableTemp[[#This Row],[Sales Local Currency]],2))</f>
        <v>2631.86</v>
      </c>
    </row>
    <row r="76" spans="1:13" x14ac:dyDescent="0.25">
      <c r="A76" s="8" t="s">
        <v>32</v>
      </c>
      <c r="B76">
        <v>45429</v>
      </c>
      <c r="C76" s="9">
        <v>43394</v>
      </c>
      <c r="D76">
        <v>8060</v>
      </c>
      <c r="E76">
        <v>110</v>
      </c>
      <c r="G76">
        <v>50</v>
      </c>
      <c r="H76">
        <v>3000</v>
      </c>
      <c r="I76" s="12" t="str">
        <f>VLOOKUP(A76,MCompany[],2,FALSE)</f>
        <v>Lucas Basics</v>
      </c>
      <c r="J76" s="12" t="str">
        <f>VLOOKUP(TableTemp[[#This Row],[Customer Code]],MCustomer[],2,FALSE)</f>
        <v>Liebher</v>
      </c>
      <c r="K76" s="12" t="str">
        <f>VLOOKUP(TableTemp[[#This Row],[Article code]],MArticle[],2,FALSE)</f>
        <v>Smartphone case diamond</v>
      </c>
      <c r="L76" s="12" t="str">
        <f>VLOOKUP(TableTemp[[#This Row],[Company]],MCompany[],3,FALSE)</f>
        <v>EUR</v>
      </c>
      <c r="M76" s="18">
        <f>IF(TableTemp[[#This Row],[Currency]]="EUR",ROUND(VLOOKUP(MONTH(TableTemp[[#This Row],[Document Date]]),MExchange[],2,FALSE)*TableTemp[[#This Row],[Sales Local Currency]],2),ROUND(TableTemp[[#This Row],[Sales Local Currency]],2))</f>
        <v>3524.82</v>
      </c>
    </row>
    <row r="77" spans="1:13" x14ac:dyDescent="0.25">
      <c r="A77" s="8" t="s">
        <v>32</v>
      </c>
      <c r="B77">
        <v>45431</v>
      </c>
      <c r="C77" s="9">
        <v>43394</v>
      </c>
      <c r="D77">
        <v>8050</v>
      </c>
      <c r="E77">
        <v>111</v>
      </c>
      <c r="G77">
        <v>60</v>
      </c>
      <c r="H77">
        <v>1200</v>
      </c>
      <c r="I77" s="12" t="str">
        <f>VLOOKUP(A77,MCompany[],2,FALSE)</f>
        <v>Lucas Basics</v>
      </c>
      <c r="J77" s="12" t="str">
        <f>VLOOKUP(TableTemp[[#This Row],[Customer Code]],MCustomer[],2,FALSE)</f>
        <v>Aida GmbH</v>
      </c>
      <c r="K77" s="12" t="str">
        <f>VLOOKUP(TableTemp[[#This Row],[Article code]],MArticle[],2,FALSE)</f>
        <v>Smartphone case simple</v>
      </c>
      <c r="L77" s="12" t="str">
        <f>VLOOKUP(TableTemp[[#This Row],[Company]],MCompany[],3,FALSE)</f>
        <v>EUR</v>
      </c>
      <c r="M77" s="18">
        <f>IF(TableTemp[[#This Row],[Currency]]="EUR",ROUND(VLOOKUP(MONTH(TableTemp[[#This Row],[Document Date]]),MExchange[],2,FALSE)*TableTemp[[#This Row],[Sales Local Currency]],2),ROUND(TableTemp[[#This Row],[Sales Local Currency]],2))</f>
        <v>1409.93</v>
      </c>
    </row>
    <row r="78" spans="1:13" x14ac:dyDescent="0.25">
      <c r="A78" s="8" t="s">
        <v>32</v>
      </c>
      <c r="B78">
        <v>45431</v>
      </c>
      <c r="C78" s="9">
        <v>43394</v>
      </c>
      <c r="D78">
        <v>8050</v>
      </c>
      <c r="E78">
        <v>108</v>
      </c>
      <c r="G78">
        <v>60</v>
      </c>
      <c r="H78">
        <v>1680</v>
      </c>
      <c r="I78" s="12" t="str">
        <f>VLOOKUP(A78,MCompany[],2,FALSE)</f>
        <v>Lucas Basics</v>
      </c>
      <c r="J78" s="12" t="str">
        <f>VLOOKUP(TableTemp[[#This Row],[Customer Code]],MCustomer[],2,FALSE)</f>
        <v>Aida GmbH</v>
      </c>
      <c r="K78" s="12" t="str">
        <f>VLOOKUP(TableTemp[[#This Row],[Article code]],MArticle[],2,FALSE)</f>
        <v>Laptop bag black</v>
      </c>
      <c r="L78" s="12" t="str">
        <f>VLOOKUP(TableTemp[[#This Row],[Company]],MCompany[],3,FALSE)</f>
        <v>EUR</v>
      </c>
      <c r="M78" s="18">
        <f>IF(TableTemp[[#This Row],[Currency]]="EUR",ROUND(VLOOKUP(MONTH(TableTemp[[#This Row],[Document Date]]),MExchange[],2,FALSE)*TableTemp[[#This Row],[Sales Local Currency]],2),ROUND(TableTemp[[#This Row],[Sales Local Currency]],2))</f>
        <v>1973.9</v>
      </c>
    </row>
  </sheetData>
  <pageMargins left="0.7" right="0.7" top="0.75" bottom="0.75" header="0.3" footer="0.3"/>
  <drawing r:id="rId5"/>
  <tableParts count="1">
    <tablePart r:id="rId6"/>
  </tableParts>
  <extLst>
    <ext xmlns:x14="http://schemas.microsoft.com/office/spreadsheetml/2009/9/main" uri="{A8765BA9-456A-4dab-B4F3-ACF838C121DE}">
      <x14:slicerList>
        <x14:slicer r:id="rId7"/>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Map"/>
  <dimension ref="A1:J68"/>
  <sheetViews>
    <sheetView showGridLines="0" workbookViewId="0">
      <selection activeCell="C16" sqref="C16"/>
    </sheetView>
  </sheetViews>
  <sheetFormatPr defaultRowHeight="13.2" x14ac:dyDescent="0.25"/>
  <cols>
    <col min="1" max="1" width="8.77734375" customWidth="1"/>
    <col min="2" max="2" width="21.77734375" customWidth="1"/>
    <col min="3" max="3" width="19.21875" customWidth="1"/>
    <col min="4" max="4" width="15.109375" customWidth="1"/>
    <col min="6" max="6" width="29.88671875" customWidth="1"/>
    <col min="7" max="7" width="13.77734375" customWidth="1"/>
    <col min="14" max="14" width="22.5546875" customWidth="1"/>
  </cols>
  <sheetData>
    <row r="1" spans="1:10" x14ac:dyDescent="0.25">
      <c r="A1" s="2"/>
      <c r="B1" s="2"/>
      <c r="C1" s="2"/>
      <c r="D1" s="2"/>
      <c r="E1" s="2"/>
      <c r="F1" s="2"/>
      <c r="G1" s="2"/>
      <c r="H1" s="2"/>
      <c r="I1" s="2"/>
      <c r="J1" s="2"/>
    </row>
    <row r="2" spans="1:10" ht="13.8" x14ac:dyDescent="0.25">
      <c r="A2" s="3"/>
      <c r="B2" s="3" t="s">
        <v>25</v>
      </c>
      <c r="C2" s="3"/>
      <c r="D2" s="3"/>
      <c r="E2" s="3"/>
      <c r="F2" s="3"/>
      <c r="G2" s="3"/>
      <c r="H2" s="3"/>
      <c r="I2" s="3"/>
      <c r="J2" s="3"/>
    </row>
    <row r="3" spans="1:10" ht="13.8" x14ac:dyDescent="0.25">
      <c r="A3" s="3"/>
      <c r="B3" s="3" t="s">
        <v>26</v>
      </c>
      <c r="C3" s="3"/>
      <c r="D3" s="3"/>
      <c r="E3" s="3"/>
      <c r="F3" s="3"/>
      <c r="G3" s="3"/>
      <c r="H3" s="3"/>
      <c r="I3" s="3"/>
      <c r="J3" s="3"/>
    </row>
    <row r="4" spans="1:10" x14ac:dyDescent="0.25">
      <c r="A4" s="2"/>
      <c r="B4" s="2"/>
      <c r="C4" s="2"/>
      <c r="D4" s="2"/>
      <c r="E4" s="2"/>
      <c r="F4" s="2"/>
      <c r="G4" s="2"/>
      <c r="H4" s="2"/>
      <c r="I4" s="2"/>
      <c r="J4" s="2"/>
    </row>
    <row r="6" spans="1:10" x14ac:dyDescent="0.25">
      <c r="A6" s="4" t="s">
        <v>28</v>
      </c>
      <c r="B6" s="4"/>
      <c r="C6" s="4"/>
      <c r="D6" s="4"/>
      <c r="E6" s="4"/>
      <c r="F6" s="4"/>
      <c r="G6" s="4"/>
      <c r="H6" s="4"/>
      <c r="I6" s="4"/>
      <c r="J6" s="4"/>
    </row>
    <row r="7" spans="1:10" x14ac:dyDescent="0.25">
      <c r="A7" s="15"/>
      <c r="B7" s="15"/>
      <c r="C7" s="15"/>
      <c r="D7" s="15"/>
      <c r="E7" s="15"/>
      <c r="F7" s="15"/>
      <c r="G7" s="15"/>
      <c r="H7" s="15"/>
      <c r="I7" s="15"/>
      <c r="J7" s="15"/>
    </row>
    <row r="8" spans="1:10" ht="26.25" customHeight="1" x14ac:dyDescent="0.25">
      <c r="B8" s="5" t="s">
        <v>57</v>
      </c>
      <c r="C8" s="6" t="s">
        <v>36</v>
      </c>
      <c r="D8" s="6" t="s">
        <v>4</v>
      </c>
      <c r="E8" s="6" t="s">
        <v>61</v>
      </c>
      <c r="G8" s="6" t="s">
        <v>77</v>
      </c>
    </row>
    <row r="9" spans="1:10" x14ac:dyDescent="0.25">
      <c r="B9" t="s">
        <v>29</v>
      </c>
      <c r="C9" t="s">
        <v>33</v>
      </c>
      <c r="D9" t="s">
        <v>1</v>
      </c>
      <c r="E9" t="s">
        <v>62</v>
      </c>
      <c r="G9" t="s">
        <v>62</v>
      </c>
    </row>
    <row r="10" spans="1:10" x14ac:dyDescent="0.25">
      <c r="B10" t="s">
        <v>30</v>
      </c>
      <c r="C10" t="s">
        <v>52</v>
      </c>
      <c r="D10" t="s">
        <v>1</v>
      </c>
      <c r="E10" t="s">
        <v>62</v>
      </c>
      <c r="G10" t="s">
        <v>63</v>
      </c>
    </row>
    <row r="11" spans="1:10" x14ac:dyDescent="0.25">
      <c r="B11" s="16" t="s">
        <v>31</v>
      </c>
      <c r="C11" s="16" t="s">
        <v>35</v>
      </c>
      <c r="D11" s="16" t="s">
        <v>39</v>
      </c>
      <c r="E11" t="s">
        <v>63</v>
      </c>
    </row>
    <row r="12" spans="1:10" x14ac:dyDescent="0.25">
      <c r="B12" s="16" t="s">
        <v>32</v>
      </c>
      <c r="C12" s="16" t="s">
        <v>34</v>
      </c>
      <c r="D12" s="16" t="s">
        <v>39</v>
      </c>
      <c r="E12" t="s">
        <v>63</v>
      </c>
    </row>
    <row r="13" spans="1:10" x14ac:dyDescent="0.25">
      <c r="B13" s="16"/>
      <c r="C13" s="16"/>
      <c r="D13" s="16"/>
    </row>
    <row r="14" spans="1:10" x14ac:dyDescent="0.25">
      <c r="A14" s="4" t="s">
        <v>37</v>
      </c>
      <c r="B14" s="4"/>
      <c r="C14" s="4"/>
      <c r="D14" s="4"/>
      <c r="E14" s="4"/>
      <c r="F14" s="4"/>
      <c r="G14" s="4"/>
      <c r="H14" s="4"/>
      <c r="I14" s="4"/>
      <c r="J14" s="4"/>
    </row>
    <row r="15" spans="1:10" x14ac:dyDescent="0.25">
      <c r="A15" s="15"/>
      <c r="B15" s="15"/>
      <c r="C15" s="15"/>
      <c r="D15" s="15"/>
      <c r="E15" s="15"/>
      <c r="F15" s="15"/>
      <c r="G15" s="15"/>
      <c r="H15" s="15"/>
      <c r="I15" s="15"/>
      <c r="J15" s="15"/>
    </row>
    <row r="16" spans="1:10" ht="13.8" x14ac:dyDescent="0.25">
      <c r="B16" s="5" t="s">
        <v>56</v>
      </c>
      <c r="C16" s="6" t="s">
        <v>47</v>
      </c>
    </row>
    <row r="17" spans="1:10" x14ac:dyDescent="0.25">
      <c r="B17">
        <v>8010</v>
      </c>
      <c r="C17" t="s">
        <v>51</v>
      </c>
    </row>
    <row r="18" spans="1:10" x14ac:dyDescent="0.25">
      <c r="B18">
        <v>8020</v>
      </c>
      <c r="C18" t="s">
        <v>53</v>
      </c>
    </row>
    <row r="19" spans="1:10" x14ac:dyDescent="0.25">
      <c r="B19">
        <v>8030</v>
      </c>
      <c r="C19" t="s">
        <v>54</v>
      </c>
    </row>
    <row r="20" spans="1:10" x14ac:dyDescent="0.25">
      <c r="B20">
        <v>8040</v>
      </c>
      <c r="C20" t="s">
        <v>78</v>
      </c>
    </row>
    <row r="21" spans="1:10" x14ac:dyDescent="0.25">
      <c r="B21">
        <v>8050</v>
      </c>
      <c r="C21" t="s">
        <v>79</v>
      </c>
    </row>
    <row r="22" spans="1:10" x14ac:dyDescent="0.25">
      <c r="B22">
        <v>8060</v>
      </c>
      <c r="C22" t="s">
        <v>80</v>
      </c>
    </row>
    <row r="24" spans="1:10" x14ac:dyDescent="0.25">
      <c r="A24" s="4" t="s">
        <v>27</v>
      </c>
      <c r="B24" s="4"/>
      <c r="C24" s="4"/>
      <c r="D24" s="4"/>
      <c r="E24" s="4"/>
      <c r="F24" s="4"/>
      <c r="G24" s="4"/>
      <c r="H24" s="4"/>
      <c r="I24" s="4"/>
      <c r="J24" s="4"/>
    </row>
    <row r="25" spans="1:10" x14ac:dyDescent="0.25">
      <c r="A25" s="15"/>
      <c r="B25" s="15"/>
      <c r="C25" s="15"/>
      <c r="D25" s="15"/>
      <c r="E25" s="15"/>
      <c r="F25" s="15"/>
      <c r="G25" s="15"/>
      <c r="H25" s="15"/>
      <c r="I25" s="15"/>
      <c r="J25" s="15"/>
    </row>
    <row r="26" spans="1:10" ht="13.8" x14ac:dyDescent="0.25">
      <c r="B26" s="5" t="s">
        <v>59</v>
      </c>
      <c r="C26" s="6" t="s">
        <v>0</v>
      </c>
    </row>
    <row r="27" spans="1:10" x14ac:dyDescent="0.25">
      <c r="B27" s="1">
        <v>101</v>
      </c>
      <c r="C27" t="s">
        <v>7</v>
      </c>
      <c r="F27" s="1"/>
    </row>
    <row r="28" spans="1:10" x14ac:dyDescent="0.25">
      <c r="B28" s="1">
        <v>102</v>
      </c>
      <c r="C28" t="s">
        <v>8</v>
      </c>
      <c r="F28" s="1"/>
    </row>
    <row r="29" spans="1:10" x14ac:dyDescent="0.25">
      <c r="B29" s="1">
        <v>103</v>
      </c>
      <c r="C29" t="s">
        <v>9</v>
      </c>
      <c r="F29" s="1"/>
    </row>
    <row r="30" spans="1:10" x14ac:dyDescent="0.25">
      <c r="B30" s="1">
        <v>104</v>
      </c>
      <c r="C30" t="s">
        <v>10</v>
      </c>
      <c r="F30" s="1"/>
    </row>
    <row r="31" spans="1:10" x14ac:dyDescent="0.25">
      <c r="B31" s="1">
        <v>105</v>
      </c>
      <c r="C31" t="s">
        <v>5</v>
      </c>
      <c r="F31" s="1"/>
    </row>
    <row r="32" spans="1:10" x14ac:dyDescent="0.25">
      <c r="B32" s="1">
        <v>106</v>
      </c>
      <c r="C32" t="s">
        <v>6</v>
      </c>
      <c r="F32" s="1"/>
    </row>
    <row r="33" spans="1:6" x14ac:dyDescent="0.25">
      <c r="B33" s="1">
        <v>107</v>
      </c>
      <c r="C33" t="s">
        <v>11</v>
      </c>
      <c r="F33" s="1"/>
    </row>
    <row r="34" spans="1:6" x14ac:dyDescent="0.25">
      <c r="B34" s="1">
        <v>108</v>
      </c>
      <c r="C34" t="s">
        <v>12</v>
      </c>
      <c r="F34" s="1"/>
    </row>
    <row r="35" spans="1:6" x14ac:dyDescent="0.25">
      <c r="B35" s="1">
        <v>109</v>
      </c>
      <c r="C35" t="s">
        <v>13</v>
      </c>
      <c r="F35" s="1"/>
    </row>
    <row r="36" spans="1:6" x14ac:dyDescent="0.25">
      <c r="B36" s="1">
        <v>110</v>
      </c>
      <c r="C36" t="s">
        <v>14</v>
      </c>
      <c r="F36" s="1"/>
    </row>
    <row r="37" spans="1:6" x14ac:dyDescent="0.25">
      <c r="B37" s="1">
        <v>111</v>
      </c>
      <c r="C37" t="s">
        <v>15</v>
      </c>
      <c r="F37" s="1"/>
    </row>
    <row r="38" spans="1:6" x14ac:dyDescent="0.25">
      <c r="B38" s="1">
        <v>112</v>
      </c>
      <c r="C38" t="s">
        <v>16</v>
      </c>
      <c r="F38" s="1"/>
    </row>
    <row r="39" spans="1:6" x14ac:dyDescent="0.25">
      <c r="B39" s="1">
        <v>113</v>
      </c>
      <c r="C39" t="s">
        <v>17</v>
      </c>
      <c r="F39" s="1"/>
    </row>
    <row r="40" spans="1:6" x14ac:dyDescent="0.25">
      <c r="B40" s="1">
        <v>114</v>
      </c>
      <c r="C40" t="s">
        <v>18</v>
      </c>
      <c r="F40" s="1"/>
    </row>
    <row r="41" spans="1:6" x14ac:dyDescent="0.25">
      <c r="B41" s="1">
        <v>115</v>
      </c>
      <c r="C41" t="s">
        <v>19</v>
      </c>
      <c r="F41" s="1"/>
    </row>
    <row r="42" spans="1:6" x14ac:dyDescent="0.25">
      <c r="B42" s="1">
        <v>116</v>
      </c>
      <c r="C42" t="s">
        <v>20</v>
      </c>
      <c r="F42" s="1"/>
    </row>
    <row r="43" spans="1:6" x14ac:dyDescent="0.25">
      <c r="B43" s="1">
        <v>117</v>
      </c>
      <c r="C43" t="s">
        <v>21</v>
      </c>
      <c r="F43" s="1"/>
    </row>
    <row r="44" spans="1:6" x14ac:dyDescent="0.25">
      <c r="B44" s="1">
        <v>118</v>
      </c>
      <c r="C44" t="s">
        <v>22</v>
      </c>
      <c r="F44" s="1"/>
    </row>
    <row r="45" spans="1:6" x14ac:dyDescent="0.25">
      <c r="B45" s="1">
        <v>119</v>
      </c>
      <c r="C45" t="s">
        <v>23</v>
      </c>
      <c r="F45" s="1"/>
    </row>
    <row r="46" spans="1:6" x14ac:dyDescent="0.25">
      <c r="B46" s="1">
        <v>120</v>
      </c>
      <c r="C46" t="s">
        <v>24</v>
      </c>
      <c r="F46" s="1"/>
    </row>
    <row r="47" spans="1:6" x14ac:dyDescent="0.25">
      <c r="A47" s="1"/>
    </row>
    <row r="48" spans="1:6" x14ac:dyDescent="0.25">
      <c r="A48" s="1"/>
    </row>
    <row r="50" spans="1:10" x14ac:dyDescent="0.25">
      <c r="A50" s="4" t="s">
        <v>84</v>
      </c>
      <c r="B50" s="4"/>
      <c r="C50" s="4"/>
      <c r="D50" s="4"/>
      <c r="E50" s="4"/>
      <c r="F50" s="4"/>
      <c r="G50" s="4"/>
      <c r="H50" s="4"/>
      <c r="I50" s="4"/>
      <c r="J50" s="4"/>
    </row>
    <row r="51" spans="1:10" x14ac:dyDescent="0.25">
      <c r="A51" s="15"/>
      <c r="B51" s="15"/>
      <c r="C51" s="15"/>
      <c r="D51" s="15"/>
      <c r="E51" s="15"/>
      <c r="F51" s="15"/>
      <c r="G51" s="15"/>
      <c r="H51" s="15"/>
      <c r="I51" s="15"/>
      <c r="J51" s="15"/>
    </row>
    <row r="52" spans="1:10" ht="13.8" x14ac:dyDescent="0.25">
      <c r="B52" s="5" t="s">
        <v>38</v>
      </c>
      <c r="C52" s="6" t="s">
        <v>58</v>
      </c>
    </row>
    <row r="53" spans="1:10" x14ac:dyDescent="0.25">
      <c r="B53">
        <v>1</v>
      </c>
      <c r="C53">
        <v>1.0629200000000001</v>
      </c>
    </row>
    <row r="54" spans="1:10" x14ac:dyDescent="0.25">
      <c r="B54">
        <v>2</v>
      </c>
      <c r="C54">
        <v>1.064889</v>
      </c>
    </row>
    <row r="55" spans="1:10" x14ac:dyDescent="0.25">
      <c r="B55">
        <v>3</v>
      </c>
      <c r="C55">
        <v>1.069491</v>
      </c>
    </row>
    <row r="56" spans="1:10" x14ac:dyDescent="0.25">
      <c r="B56">
        <v>4</v>
      </c>
      <c r="C56">
        <v>1.0708819999999999</v>
      </c>
    </row>
    <row r="57" spans="1:10" x14ac:dyDescent="0.25">
      <c r="B57">
        <v>5</v>
      </c>
      <c r="C57">
        <v>1.106112</v>
      </c>
    </row>
    <row r="58" spans="1:10" x14ac:dyDescent="0.25">
      <c r="B58">
        <v>6</v>
      </c>
      <c r="C58">
        <v>1.1229709999999999</v>
      </c>
    </row>
    <row r="59" spans="1:10" x14ac:dyDescent="0.25">
      <c r="B59">
        <v>7</v>
      </c>
      <c r="C59">
        <v>1.1528700000000001</v>
      </c>
    </row>
    <row r="60" spans="1:10" x14ac:dyDescent="0.25">
      <c r="B60">
        <v>8</v>
      </c>
      <c r="C60">
        <v>1.181608</v>
      </c>
    </row>
    <row r="61" spans="1:10" x14ac:dyDescent="0.25">
      <c r="B61">
        <v>9</v>
      </c>
      <c r="C61">
        <v>1.191249</v>
      </c>
    </row>
    <row r="62" spans="1:10" x14ac:dyDescent="0.25">
      <c r="B62">
        <v>10</v>
      </c>
      <c r="C62">
        <v>1.174939</v>
      </c>
    </row>
    <row r="63" spans="1:10" x14ac:dyDescent="0.25">
      <c r="B63">
        <v>11</v>
      </c>
      <c r="C63">
        <v>1.1745300000000001</v>
      </c>
    </row>
    <row r="64" spans="1:10" x14ac:dyDescent="0.25">
      <c r="B64">
        <v>12</v>
      </c>
      <c r="C64">
        <v>1.19095</v>
      </c>
    </row>
    <row r="68" spans="1:10" x14ac:dyDescent="0.25">
      <c r="A68" s="4"/>
      <c r="B68" s="4"/>
      <c r="C68" s="4"/>
      <c r="D68" s="4"/>
      <c r="E68" s="4"/>
      <c r="F68" s="4"/>
      <c r="G68" s="4"/>
      <c r="H68" s="4"/>
      <c r="I68" s="4"/>
      <c r="J68" s="4"/>
    </row>
  </sheetData>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NewDat"/>
  <dimension ref="A2:I46"/>
  <sheetViews>
    <sheetView workbookViewId="0">
      <selection sqref="A1:XFD1048576"/>
    </sheetView>
  </sheetViews>
  <sheetFormatPr defaultRowHeight="13.2" x14ac:dyDescent="0.25"/>
  <cols>
    <col min="1" max="1" width="10.21875"/>
    <col min="3" max="3" width="16.109375" customWidth="1"/>
  </cols>
  <sheetData>
    <row r="2" spans="2:9" x14ac:dyDescent="0.25">
      <c r="B2" t="s">
        <v>40</v>
      </c>
      <c r="C2" t="s">
        <v>32</v>
      </c>
    </row>
    <row r="4" spans="2:9" x14ac:dyDescent="0.25">
      <c r="B4" t="s">
        <v>3</v>
      </c>
      <c r="C4" t="s">
        <v>41</v>
      </c>
      <c r="D4" t="s">
        <v>75</v>
      </c>
      <c r="E4" t="s">
        <v>56</v>
      </c>
      <c r="F4" t="s">
        <v>59</v>
      </c>
      <c r="G4" t="s">
        <v>45</v>
      </c>
      <c r="H4" t="s">
        <v>43</v>
      </c>
      <c r="I4" t="s">
        <v>44</v>
      </c>
    </row>
    <row r="5" spans="2:9" x14ac:dyDescent="0.25">
      <c r="B5">
        <v>44030</v>
      </c>
      <c r="C5" s="9">
        <v>43377</v>
      </c>
      <c r="E5">
        <v>8060</v>
      </c>
      <c r="F5">
        <v>108</v>
      </c>
      <c r="G5" t="s">
        <v>2</v>
      </c>
      <c r="H5">
        <v>60</v>
      </c>
      <c r="I5">
        <v>1680</v>
      </c>
    </row>
    <row r="6" spans="2:9" x14ac:dyDescent="0.25">
      <c r="B6">
        <v>44030</v>
      </c>
      <c r="C6" s="9">
        <v>43377</v>
      </c>
      <c r="E6">
        <v>8060</v>
      </c>
      <c r="F6">
        <v>109</v>
      </c>
      <c r="G6">
        <v>1</v>
      </c>
      <c r="H6">
        <v>60</v>
      </c>
      <c r="I6">
        <v>1680</v>
      </c>
    </row>
    <row r="7" spans="2:9" x14ac:dyDescent="0.25">
      <c r="B7">
        <v>44032</v>
      </c>
      <c r="C7" s="9">
        <v>43380</v>
      </c>
      <c r="E7">
        <v>8060</v>
      </c>
      <c r="F7">
        <v>108</v>
      </c>
      <c r="G7" t="s">
        <v>2</v>
      </c>
      <c r="H7">
        <v>60</v>
      </c>
      <c r="I7">
        <v>1680</v>
      </c>
    </row>
    <row r="8" spans="2:9" x14ac:dyDescent="0.25">
      <c r="B8">
        <v>44032</v>
      </c>
      <c r="C8" s="9">
        <v>43380</v>
      </c>
      <c r="E8">
        <v>8060</v>
      </c>
      <c r="F8">
        <v>109</v>
      </c>
      <c r="H8">
        <v>70</v>
      </c>
      <c r="I8">
        <v>1960</v>
      </c>
    </row>
    <row r="9" spans="2:9" x14ac:dyDescent="0.25">
      <c r="B9">
        <v>44031</v>
      </c>
      <c r="C9" s="9">
        <v>43381</v>
      </c>
      <c r="E9">
        <v>8050</v>
      </c>
      <c r="F9">
        <v>108</v>
      </c>
      <c r="G9" t="s">
        <v>2</v>
      </c>
      <c r="H9">
        <v>60</v>
      </c>
      <c r="I9">
        <v>1680</v>
      </c>
    </row>
    <row r="10" spans="2:9" x14ac:dyDescent="0.25">
      <c r="B10">
        <v>44031</v>
      </c>
      <c r="C10" s="9">
        <v>43381</v>
      </c>
      <c r="E10">
        <v>8050</v>
      </c>
      <c r="F10">
        <v>109</v>
      </c>
      <c r="G10" t="s">
        <v>2</v>
      </c>
      <c r="H10">
        <v>50</v>
      </c>
      <c r="I10">
        <v>1400</v>
      </c>
    </row>
    <row r="11" spans="2:9" x14ac:dyDescent="0.25">
      <c r="B11">
        <v>44031</v>
      </c>
      <c r="C11" s="9">
        <v>43381</v>
      </c>
      <c r="E11">
        <v>8050</v>
      </c>
      <c r="F11">
        <v>110</v>
      </c>
      <c r="G11" t="s">
        <v>2</v>
      </c>
      <c r="H11">
        <v>60</v>
      </c>
      <c r="I11">
        <v>3600</v>
      </c>
    </row>
    <row r="12" spans="2:9" x14ac:dyDescent="0.25">
      <c r="B12">
        <v>48112</v>
      </c>
      <c r="C12" s="9">
        <v>43384</v>
      </c>
      <c r="E12">
        <v>8060</v>
      </c>
      <c r="F12">
        <v>109</v>
      </c>
      <c r="H12">
        <v>60</v>
      </c>
      <c r="I12">
        <v>1680</v>
      </c>
    </row>
    <row r="13" spans="2:9" x14ac:dyDescent="0.25">
      <c r="B13">
        <v>48112</v>
      </c>
      <c r="C13" s="9">
        <v>43384</v>
      </c>
      <c r="E13">
        <v>8060</v>
      </c>
      <c r="F13">
        <v>110</v>
      </c>
      <c r="G13" t="s">
        <v>2</v>
      </c>
      <c r="H13">
        <v>50</v>
      </c>
      <c r="I13">
        <v>3000</v>
      </c>
    </row>
    <row r="14" spans="2:9" x14ac:dyDescent="0.25">
      <c r="B14">
        <v>48114</v>
      </c>
      <c r="C14" s="9">
        <v>43384</v>
      </c>
      <c r="E14">
        <v>8050</v>
      </c>
      <c r="F14">
        <v>109</v>
      </c>
      <c r="H14">
        <v>60</v>
      </c>
      <c r="I14">
        <v>1680</v>
      </c>
    </row>
    <row r="15" spans="2:9" x14ac:dyDescent="0.25">
      <c r="B15">
        <v>48114</v>
      </c>
      <c r="C15" s="9">
        <v>43384</v>
      </c>
      <c r="E15">
        <v>8050</v>
      </c>
      <c r="F15">
        <v>110</v>
      </c>
      <c r="H15">
        <v>60</v>
      </c>
      <c r="I15">
        <v>3600</v>
      </c>
    </row>
    <row r="16" spans="2:9" x14ac:dyDescent="0.25">
      <c r="B16">
        <v>48114</v>
      </c>
      <c r="C16" s="9">
        <v>43384</v>
      </c>
      <c r="E16">
        <v>8050</v>
      </c>
      <c r="F16">
        <v>111</v>
      </c>
      <c r="H16">
        <v>80</v>
      </c>
      <c r="I16">
        <v>1600</v>
      </c>
    </row>
    <row r="17" spans="1:9" x14ac:dyDescent="0.25">
      <c r="B17">
        <v>48116</v>
      </c>
      <c r="C17" s="9">
        <v>43384</v>
      </c>
      <c r="E17">
        <v>8060</v>
      </c>
      <c r="F17">
        <v>109</v>
      </c>
      <c r="H17">
        <v>60</v>
      </c>
      <c r="I17">
        <v>1680</v>
      </c>
    </row>
    <row r="18" spans="1:9" x14ac:dyDescent="0.25">
      <c r="B18">
        <v>48116</v>
      </c>
      <c r="C18" s="9">
        <v>43384</v>
      </c>
      <c r="E18">
        <v>8060</v>
      </c>
      <c r="F18">
        <v>110</v>
      </c>
      <c r="H18">
        <v>60</v>
      </c>
      <c r="I18">
        <v>3600</v>
      </c>
    </row>
    <row r="19" spans="1:9" x14ac:dyDescent="0.25">
      <c r="B19">
        <v>45442</v>
      </c>
      <c r="C19" s="9">
        <v>43388</v>
      </c>
      <c r="E19">
        <v>8050</v>
      </c>
      <c r="F19">
        <v>108</v>
      </c>
      <c r="H19">
        <v>50</v>
      </c>
      <c r="I19">
        <v>1400</v>
      </c>
    </row>
    <row r="20" spans="1:9" x14ac:dyDescent="0.25">
      <c r="B20">
        <v>45442</v>
      </c>
      <c r="C20" s="9">
        <v>43388</v>
      </c>
      <c r="E20">
        <v>8050</v>
      </c>
      <c r="F20">
        <v>109</v>
      </c>
      <c r="G20">
        <v>1</v>
      </c>
      <c r="H20">
        <v>60</v>
      </c>
      <c r="I20">
        <v>1680</v>
      </c>
    </row>
    <row r="21" spans="1:9" x14ac:dyDescent="0.25">
      <c r="B21">
        <v>45444</v>
      </c>
      <c r="C21" s="9">
        <v>43388</v>
      </c>
      <c r="E21">
        <v>8060</v>
      </c>
      <c r="F21">
        <v>108</v>
      </c>
      <c r="H21">
        <v>60</v>
      </c>
      <c r="I21">
        <v>1680</v>
      </c>
    </row>
    <row r="22" spans="1:9" x14ac:dyDescent="0.25">
      <c r="B22">
        <v>45444</v>
      </c>
      <c r="C22" s="9">
        <v>43388</v>
      </c>
      <c r="E22">
        <v>8060</v>
      </c>
      <c r="F22">
        <v>109</v>
      </c>
      <c r="H22">
        <v>70</v>
      </c>
      <c r="I22">
        <v>1960</v>
      </c>
    </row>
    <row r="23" spans="1:9" x14ac:dyDescent="0.25">
      <c r="B23">
        <v>45444</v>
      </c>
      <c r="C23" s="9">
        <v>43388</v>
      </c>
      <c r="E23">
        <v>8060</v>
      </c>
      <c r="F23">
        <v>110</v>
      </c>
      <c r="H23">
        <v>60</v>
      </c>
      <c r="I23">
        <v>3600</v>
      </c>
    </row>
    <row r="24" spans="1:9" x14ac:dyDescent="0.25">
      <c r="B24">
        <v>45446</v>
      </c>
      <c r="C24" s="9">
        <v>43388</v>
      </c>
      <c r="E24">
        <v>8050</v>
      </c>
      <c r="F24">
        <v>111</v>
      </c>
      <c r="H24">
        <v>80</v>
      </c>
      <c r="I24">
        <v>1600</v>
      </c>
    </row>
    <row r="25" spans="1:9" x14ac:dyDescent="0.25">
      <c r="B25">
        <v>45446</v>
      </c>
      <c r="C25" s="9">
        <v>43388</v>
      </c>
      <c r="E25">
        <v>8050</v>
      </c>
      <c r="F25">
        <v>108</v>
      </c>
      <c r="H25">
        <v>50</v>
      </c>
      <c r="I25">
        <v>1400</v>
      </c>
    </row>
    <row r="26" spans="1:9" x14ac:dyDescent="0.25">
      <c r="A26" s="9"/>
      <c r="B26">
        <v>44015</v>
      </c>
      <c r="C26" s="9">
        <v>43383</v>
      </c>
      <c r="E26">
        <v>8060</v>
      </c>
      <c r="F26">
        <v>108</v>
      </c>
      <c r="H26">
        <v>60</v>
      </c>
      <c r="I26">
        <v>1680</v>
      </c>
    </row>
    <row r="27" spans="1:9" x14ac:dyDescent="0.25">
      <c r="A27" s="9"/>
      <c r="B27">
        <v>44015</v>
      </c>
      <c r="C27" s="9">
        <v>43383</v>
      </c>
      <c r="E27">
        <v>8060</v>
      </c>
      <c r="F27">
        <v>109</v>
      </c>
      <c r="H27">
        <v>70</v>
      </c>
      <c r="I27">
        <v>1960</v>
      </c>
    </row>
    <row r="28" spans="1:9" x14ac:dyDescent="0.25">
      <c r="A28" s="9"/>
      <c r="B28">
        <v>44017</v>
      </c>
      <c r="C28" s="9">
        <v>43386</v>
      </c>
      <c r="E28">
        <v>8060</v>
      </c>
      <c r="F28">
        <v>108</v>
      </c>
      <c r="H28">
        <v>70</v>
      </c>
      <c r="I28">
        <v>1960</v>
      </c>
    </row>
    <row r="29" spans="1:9" x14ac:dyDescent="0.25">
      <c r="A29" s="9"/>
      <c r="B29">
        <v>44017</v>
      </c>
      <c r="C29" s="9">
        <v>43386</v>
      </c>
      <c r="E29">
        <v>8060</v>
      </c>
      <c r="F29">
        <v>109</v>
      </c>
      <c r="H29">
        <v>70</v>
      </c>
      <c r="I29">
        <v>1960</v>
      </c>
    </row>
    <row r="30" spans="1:9" x14ac:dyDescent="0.25">
      <c r="A30" s="9"/>
      <c r="B30">
        <v>44016</v>
      </c>
      <c r="C30" s="9">
        <v>43387</v>
      </c>
      <c r="E30">
        <v>8050</v>
      </c>
      <c r="F30">
        <v>108</v>
      </c>
      <c r="H30">
        <v>70</v>
      </c>
      <c r="I30">
        <v>1960</v>
      </c>
    </row>
    <row r="31" spans="1:9" x14ac:dyDescent="0.25">
      <c r="A31" s="9"/>
      <c r="B31">
        <v>44016</v>
      </c>
      <c r="C31" s="9">
        <v>43387</v>
      </c>
      <c r="E31">
        <v>8050</v>
      </c>
      <c r="F31">
        <v>109</v>
      </c>
      <c r="G31">
        <v>1</v>
      </c>
      <c r="H31">
        <v>60</v>
      </c>
      <c r="I31">
        <v>1680</v>
      </c>
    </row>
    <row r="32" spans="1:9" x14ac:dyDescent="0.25">
      <c r="A32" s="9"/>
      <c r="B32">
        <v>44016</v>
      </c>
      <c r="C32" s="9">
        <v>43387</v>
      </c>
      <c r="E32">
        <v>8050</v>
      </c>
      <c r="F32">
        <v>110</v>
      </c>
      <c r="H32">
        <v>50</v>
      </c>
      <c r="I32">
        <v>3000</v>
      </c>
    </row>
    <row r="33" spans="1:9" x14ac:dyDescent="0.25">
      <c r="A33" s="9"/>
      <c r="B33">
        <v>48097</v>
      </c>
      <c r="C33" s="9">
        <v>43390</v>
      </c>
      <c r="E33">
        <v>8060</v>
      </c>
      <c r="F33">
        <v>109</v>
      </c>
      <c r="H33">
        <v>60</v>
      </c>
      <c r="I33">
        <v>1680</v>
      </c>
    </row>
    <row r="34" spans="1:9" x14ac:dyDescent="0.25">
      <c r="A34" s="9"/>
      <c r="B34">
        <v>48097</v>
      </c>
      <c r="C34" s="9">
        <v>43390</v>
      </c>
      <c r="E34">
        <v>8060</v>
      </c>
      <c r="F34">
        <v>110</v>
      </c>
      <c r="H34">
        <v>70</v>
      </c>
      <c r="I34">
        <v>4200</v>
      </c>
    </row>
    <row r="35" spans="1:9" x14ac:dyDescent="0.25">
      <c r="A35" s="9"/>
      <c r="B35">
        <v>48099</v>
      </c>
      <c r="C35" s="9">
        <v>43390</v>
      </c>
      <c r="E35">
        <v>8050</v>
      </c>
      <c r="F35">
        <v>109</v>
      </c>
      <c r="G35">
        <v>1</v>
      </c>
      <c r="H35">
        <v>60</v>
      </c>
      <c r="I35">
        <v>1680</v>
      </c>
    </row>
    <row r="36" spans="1:9" x14ac:dyDescent="0.25">
      <c r="A36" s="9"/>
      <c r="B36">
        <v>48099</v>
      </c>
      <c r="C36" s="9">
        <v>43390</v>
      </c>
      <c r="E36">
        <v>8050</v>
      </c>
      <c r="F36">
        <v>110</v>
      </c>
      <c r="H36">
        <v>60</v>
      </c>
      <c r="I36">
        <v>3600</v>
      </c>
    </row>
    <row r="37" spans="1:9" x14ac:dyDescent="0.25">
      <c r="A37" s="9"/>
      <c r="B37">
        <v>48099</v>
      </c>
      <c r="C37" s="9">
        <v>43390</v>
      </c>
      <c r="E37">
        <v>8050</v>
      </c>
      <c r="F37">
        <v>111</v>
      </c>
      <c r="H37">
        <v>60</v>
      </c>
      <c r="I37">
        <v>1200</v>
      </c>
    </row>
    <row r="38" spans="1:9" x14ac:dyDescent="0.25">
      <c r="A38" s="9"/>
      <c r="B38">
        <v>48101</v>
      </c>
      <c r="C38" s="9">
        <v>43390</v>
      </c>
      <c r="E38">
        <v>8060</v>
      </c>
      <c r="F38">
        <v>109</v>
      </c>
      <c r="H38">
        <v>60</v>
      </c>
      <c r="I38">
        <v>1680</v>
      </c>
    </row>
    <row r="39" spans="1:9" x14ac:dyDescent="0.25">
      <c r="A39" s="9"/>
      <c r="B39">
        <v>48101</v>
      </c>
      <c r="C39" s="9">
        <v>43390</v>
      </c>
      <c r="E39">
        <v>8060</v>
      </c>
      <c r="F39">
        <v>110</v>
      </c>
      <c r="H39">
        <v>50</v>
      </c>
      <c r="I39">
        <v>3000</v>
      </c>
    </row>
    <row r="40" spans="1:9" x14ac:dyDescent="0.25">
      <c r="A40" s="9"/>
      <c r="B40">
        <v>45427</v>
      </c>
      <c r="C40" s="9">
        <v>43394</v>
      </c>
      <c r="E40">
        <v>8050</v>
      </c>
      <c r="F40">
        <v>108</v>
      </c>
      <c r="H40">
        <v>70</v>
      </c>
      <c r="I40">
        <v>1960</v>
      </c>
    </row>
    <row r="41" spans="1:9" x14ac:dyDescent="0.25">
      <c r="A41" s="9"/>
      <c r="B41">
        <v>45427</v>
      </c>
      <c r="C41" s="9">
        <v>43394</v>
      </c>
      <c r="E41">
        <v>8050</v>
      </c>
      <c r="F41">
        <v>109</v>
      </c>
      <c r="H41">
        <v>60</v>
      </c>
      <c r="I41">
        <v>1680</v>
      </c>
    </row>
    <row r="42" spans="1:9" x14ac:dyDescent="0.25">
      <c r="A42" s="9"/>
      <c r="B42">
        <v>45429</v>
      </c>
      <c r="C42" s="9">
        <v>43394</v>
      </c>
      <c r="E42">
        <v>8060</v>
      </c>
      <c r="F42">
        <v>108</v>
      </c>
      <c r="H42">
        <v>80</v>
      </c>
      <c r="I42">
        <v>2240</v>
      </c>
    </row>
    <row r="43" spans="1:9" x14ac:dyDescent="0.25">
      <c r="A43" s="9"/>
      <c r="B43">
        <v>45429</v>
      </c>
      <c r="C43" s="9">
        <v>43394</v>
      </c>
      <c r="E43">
        <v>8060</v>
      </c>
      <c r="F43">
        <v>109</v>
      </c>
      <c r="G43">
        <v>2</v>
      </c>
      <c r="H43">
        <v>80</v>
      </c>
      <c r="I43">
        <v>2240</v>
      </c>
    </row>
    <row r="44" spans="1:9" x14ac:dyDescent="0.25">
      <c r="A44" s="9"/>
      <c r="B44">
        <v>45429</v>
      </c>
      <c r="C44" s="9">
        <v>43394</v>
      </c>
      <c r="E44">
        <v>8060</v>
      </c>
      <c r="F44">
        <v>110</v>
      </c>
      <c r="H44">
        <v>50</v>
      </c>
      <c r="I44">
        <v>3000</v>
      </c>
    </row>
    <row r="45" spans="1:9" x14ac:dyDescent="0.25">
      <c r="A45" s="9"/>
      <c r="B45">
        <v>45431</v>
      </c>
      <c r="C45" s="9">
        <v>43394</v>
      </c>
      <c r="E45">
        <v>8050</v>
      </c>
      <c r="F45">
        <v>111</v>
      </c>
      <c r="H45">
        <v>60</v>
      </c>
      <c r="I45">
        <v>1200</v>
      </c>
    </row>
    <row r="46" spans="1:9" x14ac:dyDescent="0.25">
      <c r="A46" s="9"/>
      <c r="B46">
        <v>45431</v>
      </c>
      <c r="C46" s="9">
        <v>43394</v>
      </c>
      <c r="E46">
        <v>8050</v>
      </c>
      <c r="F46">
        <v>108</v>
      </c>
      <c r="H46">
        <v>60</v>
      </c>
      <c r="I46">
        <v>1680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Start</vt:lpstr>
      <vt:lpstr>Summary</vt:lpstr>
      <vt:lpstr>RegionTemp</vt:lpstr>
      <vt:lpstr>Map</vt:lpstr>
      <vt:lpstr>NewData</vt:lpstr>
      <vt:lpstr>MRegion</vt:lpstr>
    </vt:vector>
  </TitlesOfParts>
  <Company>www.xelplus.com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Leila Gharani</dc:creator>
  <dc:description>Example tool made to demonstrate some key VBA concepts from my online VBA course on Udemy.com</dc:description>
  <cp:lastModifiedBy>KHALED</cp:lastModifiedBy>
  <dcterms:created xsi:type="dcterms:W3CDTF">2017-10-02T07:41:32Z</dcterms:created>
  <dcterms:modified xsi:type="dcterms:W3CDTF">2019-12-08T21:04:44Z</dcterms:modified>
</cp:coreProperties>
</file>